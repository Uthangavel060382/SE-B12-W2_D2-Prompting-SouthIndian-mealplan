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ஆற்றல் இலக்கு" sheetId="1" state="visible" r:id="rId3"/>
    <sheet name="உணவுத் திட்டம்" sheetId="2" state="visible" r:id="rId4"/>
    <sheet name="வார சுருக்கம்" sheetId="3" state="visible" r:id="rId5"/>
    <sheet name="மளிகைப் பட்டியல்" sheetId="4" state="visible" r:id="rId6"/>
    <sheet name="மாற்றுகள் &amp; குறிப்புகள்" sheetId="5" state="visible" r:id="rId7"/>
  </sheets>
  <definedNames>
    <definedName function="false" hidden="true" localSheetId="1" name="_xlnm._FilterDatabase" vbProcedure="false">'உணவுத் திட்டம்'!$A$4:$G$39</definedName>
    <definedName function="false" hidden="true" localSheetId="3" name="_xlnm._FilterDatabase" vbProcedure="false">'மளிகைப் பட்டியல்'!$A$4:$D$56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<sst xmlns="http://schemas.openxmlformats.org/spreadsheetml/2006/main" count="415" uniqueCount="276">
  <si>
    <r>
      <rPr>
        <b val="true"/>
        <sz val="14"/>
        <color rgb="FF1F5C4A"/>
        <rFont val="FreeSans"/>
        <family val="2"/>
      </rPr>
      <t xml:space="preserve">தினசரி கலோரி இலக்கு </t>
    </r>
    <r>
      <rPr>
        <b val="true"/>
        <sz val="14"/>
        <color rgb="FF1F5C4A"/>
        <rFont val="Nirmala UI"/>
        <family val="0"/>
        <charset val="1"/>
      </rPr>
      <t xml:space="preserve">(Mifflin-St Jeor)</t>
    </r>
  </si>
  <si>
    <r>
      <rPr>
        <i val="true"/>
        <sz val="9"/>
        <color rgb="FF595959"/>
        <rFont val="FreeSans"/>
        <family val="2"/>
      </rPr>
      <t xml:space="preserve">மஞ்சள் கட்டங்கள் உள்ளீடுகள்</t>
    </r>
    <r>
      <rPr>
        <i val="true"/>
        <sz val="9"/>
        <color rgb="FF595959"/>
        <rFont val="Nirmala UI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எதை மாற்றினாலும் எல்லா எண்களும் தானாக மாறும்</t>
    </r>
    <r>
      <rPr>
        <i val="true"/>
        <sz val="9"/>
        <color rgb="FF595959"/>
        <rFont val="Nirmala UI"/>
        <family val="0"/>
        <charset val="1"/>
      </rPr>
      <t xml:space="preserve">.</t>
    </r>
  </si>
  <si>
    <t xml:space="preserve">விவரம்</t>
  </si>
  <si>
    <t xml:space="preserve">மதிப்பு</t>
  </si>
  <si>
    <t xml:space="preserve">குறிப்பு</t>
  </si>
  <si>
    <r>
      <rPr>
        <sz val="11"/>
        <rFont val="FreeSans"/>
        <family val="2"/>
      </rPr>
      <t xml:space="preserve">வயது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ஆண்டுகள்</t>
    </r>
    <r>
      <rPr>
        <sz val="11"/>
        <rFont val="Nirmala UI"/>
        <family val="0"/>
        <charset val="1"/>
      </rPr>
      <t xml:space="preserve">)</t>
    </r>
  </si>
  <si>
    <t xml:space="preserve">உங்கள் விவரத்திலிருந்து</t>
  </si>
  <si>
    <r>
      <rPr>
        <sz val="11"/>
        <rFont val="FreeSans"/>
        <family val="2"/>
      </rPr>
      <t xml:space="preserve">உயரம்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செ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மீ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</si>
  <si>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"5.1" </t>
    </r>
    <r>
      <rPr>
        <sz val="11"/>
        <rFont val="FreeSans"/>
        <family val="2"/>
      </rPr>
      <t xml:space="preserve">என்பதை </t>
    </r>
    <r>
      <rPr>
        <sz val="11"/>
        <rFont val="Nirmala UI"/>
        <family val="0"/>
        <charset val="1"/>
      </rPr>
      <t xml:space="preserve">5 </t>
    </r>
    <r>
      <rPr>
        <sz val="11"/>
        <rFont val="FreeSans"/>
        <family val="2"/>
      </rPr>
      <t xml:space="preserve">அடி </t>
    </r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அங்குலம் ≈ </t>
    </r>
    <r>
      <rPr>
        <sz val="11"/>
        <rFont val="Nirmala UI"/>
        <family val="0"/>
        <charset val="1"/>
      </rPr>
      <t xml:space="preserve">155 </t>
    </r>
    <r>
      <rPr>
        <sz val="11"/>
        <rFont val="FreeSans"/>
        <family val="2"/>
      </rPr>
      <t xml:space="preserve">செ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மீ என எடுத்துக்கொண்டேன்</t>
    </r>
  </si>
  <si>
    <r>
      <rPr>
        <sz val="11"/>
        <rFont val="FreeSans"/>
        <family val="2"/>
      </rPr>
      <t xml:space="preserve">தற்போதைய எடை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</si>
  <si>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FreeSans"/>
        <family val="2"/>
      </rPr>
      <t xml:space="preserve">இலக்கு எடை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)</t>
    </r>
  </si>
  <si>
    <t xml:space="preserve">செயல்பாட்டுக் காரணி</t>
  </si>
  <si>
    <r>
      <rPr>
        <sz val="11"/>
        <rFont val="FreeSans"/>
        <family val="2"/>
      </rPr>
      <t xml:space="preserve">அமர்ந்த நிலை </t>
    </r>
    <r>
      <rPr>
        <sz val="11"/>
        <rFont val="Nirmala UI"/>
        <family val="0"/>
        <charset val="1"/>
      </rPr>
      <t xml:space="preserve">= 1.2 (</t>
    </r>
    <r>
      <rPr>
        <sz val="11"/>
        <rFont val="FreeSans"/>
        <family val="2"/>
      </rPr>
      <t xml:space="preserve">லேசான </t>
    </r>
    <r>
      <rPr>
        <sz val="11"/>
        <rFont val="Nirmala UI"/>
        <family val="0"/>
        <charset val="1"/>
      </rPr>
      <t xml:space="preserve">1.375, </t>
    </r>
    <r>
      <rPr>
        <sz val="11"/>
        <rFont val="FreeSans"/>
        <family val="2"/>
      </rPr>
      <t xml:space="preserve">மிதமான </t>
    </r>
    <r>
      <rPr>
        <sz val="11"/>
        <rFont val="Nirmala UI"/>
        <family val="0"/>
        <charset val="1"/>
      </rPr>
      <t xml:space="preserve">1.55, </t>
    </r>
    <r>
      <rPr>
        <sz val="11"/>
        <rFont val="FreeSans"/>
        <family val="2"/>
      </rPr>
      <t xml:space="preserve">அதிக </t>
    </r>
    <r>
      <rPr>
        <sz val="11"/>
        <rFont val="Nirmala UI"/>
        <family val="0"/>
        <charset val="1"/>
      </rPr>
      <t xml:space="preserve">1.725)</t>
    </r>
  </si>
  <si>
    <r>
      <rPr>
        <sz val="11"/>
        <rFont val="FreeSans"/>
        <family val="2"/>
      </rPr>
      <t xml:space="preserve">கலோரி குறைப்பு </t>
    </r>
    <r>
      <rPr>
        <sz val="11"/>
        <rFont val="Nirmala UI"/>
        <family val="0"/>
        <charset val="1"/>
      </rPr>
      <t xml:space="preserve">(kcal/</t>
    </r>
    <r>
      <rPr>
        <sz val="11"/>
        <rFont val="FreeSans"/>
        <family val="2"/>
      </rPr>
      <t xml:space="preserve">நாள்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</si>
  <si>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FreeSans"/>
        <family val="2"/>
      </rPr>
      <t xml:space="preserve">மிதமான குறைப்பு</t>
    </r>
    <r>
      <rPr>
        <sz val="11"/>
        <rFont val="Nirmala UI"/>
        <family val="0"/>
        <charset val="1"/>
      </rPr>
      <t xml:space="preserve">, 300–500 </t>
    </r>
    <r>
      <rPr>
        <sz val="11"/>
        <rFont val="FreeSans"/>
        <family val="2"/>
      </rPr>
      <t xml:space="preserve">வரம்புக்குள்</t>
    </r>
  </si>
  <si>
    <r>
      <rPr>
        <sz val="11"/>
        <rFont val="FreeSans"/>
        <family val="2"/>
      </rPr>
      <t xml:space="preserve">புரதம்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இலக்கு எடைக்கு 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-</t>
    </r>
    <r>
      <rPr>
        <sz val="11"/>
        <rFont val="FreeSans"/>
        <family val="2"/>
      </rPr>
      <t xml:space="preserve">க்கு கிராம்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</si>
  <si>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FreeSans"/>
        <family val="2"/>
      </rPr>
      <t xml:space="preserve">பரிந்துரை வரம்பு </t>
    </r>
    <r>
      <rPr>
        <sz val="11"/>
        <rFont val="Nirmala UI"/>
        <family val="0"/>
        <charset val="1"/>
      </rPr>
      <t xml:space="preserve">1.0–1.2</t>
    </r>
  </si>
  <si>
    <r>
      <rPr>
        <sz val="11"/>
        <rFont val="FreeSans"/>
        <family val="2"/>
      </rPr>
      <t xml:space="preserve">குறைந்தபட்ச கலோரி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பெண்கள்</t>
    </r>
    <r>
      <rPr>
        <sz val="11"/>
        <rFont val="Nirmala UI"/>
        <family val="0"/>
        <charset val="1"/>
      </rPr>
      <t xml:space="preserve">)</t>
    </r>
  </si>
  <si>
    <t xml:space="preserve">இதற்குக் கீழே போகக் கூடாது</t>
  </si>
  <si>
    <r>
      <rPr>
        <b val="true"/>
        <sz val="11"/>
        <rFont val="Nirmala UI"/>
        <family val="0"/>
        <charset val="1"/>
      </rPr>
      <t xml:space="preserve">BMR (kcal/</t>
    </r>
    <r>
      <rPr>
        <b val="true"/>
        <sz val="11"/>
        <rFont val="FreeSans"/>
        <family val="2"/>
      </rPr>
      <t xml:space="preserve">நாள்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</si>
  <si>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10×</t>
    </r>
    <r>
      <rPr>
        <sz val="11"/>
        <rFont val="FreeSans"/>
        <family val="2"/>
      </rPr>
      <t xml:space="preserve">எடை </t>
    </r>
    <r>
      <rPr>
        <sz val="11"/>
        <rFont val="Nirmala UI"/>
        <family val="0"/>
        <charset val="1"/>
      </rPr>
      <t xml:space="preserve">+ 6.25×</t>
    </r>
    <r>
      <rPr>
        <sz val="11"/>
        <rFont val="FreeSans"/>
        <family val="2"/>
      </rPr>
      <t xml:space="preserve">உயரம் − </t>
    </r>
    <r>
      <rPr>
        <sz val="11"/>
        <rFont val="Nirmala UI"/>
        <family val="0"/>
        <charset val="1"/>
      </rPr>
      <t xml:space="preserve">5×</t>
    </r>
    <r>
      <rPr>
        <sz val="11"/>
        <rFont val="FreeSans"/>
        <family val="2"/>
      </rPr>
      <t xml:space="preserve">வயது − </t>
    </r>
    <r>
      <rPr>
        <sz val="11"/>
        <rFont val="Nirmala UI"/>
        <family val="0"/>
        <charset val="1"/>
      </rPr>
      <t xml:space="preserve">161</t>
    </r>
  </si>
  <si>
    <r>
      <rPr>
        <b val="true"/>
        <sz val="11"/>
        <rFont val="Nirmala UI"/>
        <family val="0"/>
        <charset val="1"/>
      </rPr>
      <t xml:space="preserve">TDEE / </t>
    </r>
    <r>
      <rPr>
        <b val="true"/>
        <sz val="11"/>
        <rFont val="FreeSans"/>
        <family val="2"/>
      </rPr>
      <t xml:space="preserve">பராமரிப்பு </t>
    </r>
    <r>
      <rPr>
        <b val="true"/>
        <sz val="11"/>
        <rFont val="Nirmala UI"/>
        <family val="0"/>
        <charset val="1"/>
      </rPr>
      <t xml:space="preserve">(kcal/</t>
    </r>
    <r>
      <rPr>
        <b val="true"/>
        <sz val="11"/>
        <rFont val="FreeSans"/>
        <family val="2"/>
      </rPr>
      <t xml:space="preserve">நாள்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</si>
  <si>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BMR × </t>
    </r>
    <r>
      <rPr>
        <sz val="11"/>
        <rFont val="FreeSans"/>
        <family val="2"/>
      </rPr>
      <t xml:space="preserve">செயல்பாட்டுக் காரணி</t>
    </r>
  </si>
  <si>
    <r>
      <rPr>
        <b val="true"/>
        <sz val="11"/>
        <rFont val="FreeSans"/>
        <family val="2"/>
      </rPr>
      <t xml:space="preserve">தினசரி கலோரி இலக்கு </t>
    </r>
    <r>
      <rPr>
        <b val="true"/>
        <sz val="11"/>
        <rFont val="Nirmala UI"/>
        <family val="0"/>
        <charset val="1"/>
      </rPr>
      <t xml:space="preserve">(kcal/</t>
    </r>
    <r>
      <rPr>
        <b val="true"/>
        <sz val="11"/>
        <rFont val="FreeSans"/>
        <family val="2"/>
      </rPr>
      <t xml:space="preserve">நாள்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</si>
  <si>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TDEE − </t>
    </r>
    <r>
      <rPr>
        <sz val="11"/>
        <rFont val="FreeSans"/>
        <family val="2"/>
      </rPr>
      <t xml:space="preserve">குறைப்பு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முழு எண்ணாக்கி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குறைந்தபட்சத்துக்கு மேல்</t>
    </r>
  </si>
  <si>
    <r>
      <rPr>
        <b val="true"/>
        <sz val="11"/>
        <rFont val="FreeSans"/>
        <family val="2"/>
      </rPr>
      <t xml:space="preserve">தினசரி புரத இலக்கு </t>
    </r>
    <r>
      <rPr>
        <b val="true"/>
        <sz val="11"/>
        <rFont val="Nirmala UI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கிராம்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</si>
  <si>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FreeSans"/>
        <family val="2"/>
      </rPr>
      <t xml:space="preserve">இலக்கு எடை </t>
    </r>
    <r>
      <rPr>
        <sz val="11"/>
        <rFont val="Nirmala UI"/>
        <family val="0"/>
        <charset val="1"/>
      </rPr>
      <t xml:space="preserve">× </t>
    </r>
    <r>
      <rPr>
        <sz val="11"/>
        <rFont val="FreeSans"/>
        <family val="2"/>
      </rPr>
      <t xml:space="preserve">கிராம்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</si>
  <si>
    <r>
      <rPr>
        <b val="true"/>
        <sz val="11"/>
        <rFont val="FreeSans"/>
        <family val="2"/>
      </rPr>
      <t xml:space="preserve">எதிர்பார்க்கும் குறைவு </t>
    </r>
    <r>
      <rPr>
        <b val="true"/>
        <sz val="11"/>
        <rFont val="Nirmala UI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கி</t>
    </r>
    <r>
      <rPr>
        <b val="true"/>
        <sz val="11"/>
        <rFont val="Nirmala UI"/>
        <family val="0"/>
        <charset val="1"/>
      </rPr>
      <t xml:space="preserve">.</t>
    </r>
    <r>
      <rPr>
        <b val="true"/>
        <sz val="11"/>
        <rFont val="FreeSans"/>
        <family val="2"/>
      </rPr>
      <t xml:space="preserve">கி</t>
    </r>
    <r>
      <rPr>
        <b val="true"/>
        <sz val="11"/>
        <rFont val="Nirmala UI"/>
        <family val="0"/>
        <charset val="1"/>
      </rPr>
      <t xml:space="preserve">/</t>
    </r>
    <r>
      <rPr>
        <b val="true"/>
        <sz val="11"/>
        <rFont val="FreeSans"/>
        <family val="2"/>
      </rPr>
      <t xml:space="preserve">வாரம்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</si>
  <si>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 கொழுப்பு ≈ </t>
    </r>
    <r>
      <rPr>
        <sz val="11"/>
        <rFont val="Nirmala UI"/>
        <family val="0"/>
        <charset val="1"/>
      </rPr>
      <t xml:space="preserve">7,700 kcal</t>
    </r>
  </si>
  <si>
    <r>
      <rPr>
        <b val="true"/>
        <sz val="11"/>
        <rFont val="Nirmala UI"/>
        <family val="0"/>
        <charset val="1"/>
      </rPr>
      <t xml:space="preserve">BMI (</t>
    </r>
    <r>
      <rPr>
        <b val="true"/>
        <sz val="11"/>
        <rFont val="FreeSans"/>
        <family val="2"/>
      </rPr>
      <t xml:space="preserve">தற்போது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</si>
  <si>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rFont val="FreeSans"/>
        <family val="2"/>
      </rPr>
      <t xml:space="preserve">எடை </t>
    </r>
    <r>
      <rPr>
        <sz val="11"/>
        <rFont val="Nirmala UI"/>
        <family val="0"/>
        <charset val="1"/>
      </rPr>
      <t xml:space="preserve">÷ </t>
    </r>
    <r>
      <rPr>
        <sz val="11"/>
        <rFont val="FreeSans"/>
        <family val="2"/>
      </rPr>
      <t xml:space="preserve">உயரம்²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மீ</t>
    </r>
    <r>
      <rPr>
        <sz val="11"/>
        <rFont val="Nirmala UI"/>
        <family val="0"/>
        <charset val="1"/>
      </rPr>
      <t xml:space="preserve">)</t>
    </r>
  </si>
  <si>
    <r>
      <rPr>
        <b val="true"/>
        <sz val="14"/>
        <color rgb="FF1F5C4A"/>
        <rFont val="Nirmala UI"/>
        <family val="0"/>
        <charset val="1"/>
      </rPr>
      <t xml:space="preserve">7 </t>
    </r>
    <r>
      <rPr>
        <b val="true"/>
        <sz val="14"/>
        <color rgb="FF1F5C4A"/>
        <rFont val="FreeSans"/>
        <family val="2"/>
      </rPr>
      <t xml:space="preserve">நாள் தமிழ்நாடு சைவ உணவுத் திட்டம் </t>
    </r>
    <r>
      <rPr>
        <b val="true"/>
        <sz val="14"/>
        <color rgb="FF1F5C4A"/>
        <rFont val="Nirmala UI"/>
        <family val="0"/>
        <charset val="1"/>
      </rPr>
      <t xml:space="preserve">(~1,400 kcal)</t>
    </r>
  </si>
  <si>
    <r>
      <rPr>
        <i val="true"/>
        <sz val="9"/>
        <color rgb="FF595959"/>
        <rFont val="FreeSans"/>
        <family val="2"/>
      </rPr>
      <t xml:space="preserve">கலோரி</t>
    </r>
    <r>
      <rPr>
        <i val="true"/>
        <sz val="9"/>
        <color rgb="FF595959"/>
        <rFont val="Nirmala UI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புரதம் தோராயமான மதிப்பீடுகள்</t>
    </r>
    <r>
      <rPr>
        <i val="true"/>
        <sz val="9"/>
        <color rgb="FF595959"/>
        <rFont val="Nirmala UI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ஒவ்வொரு வேளைக்கும் </t>
    </r>
    <r>
      <rPr>
        <i val="true"/>
        <sz val="9"/>
        <color rgb="FF595959"/>
        <rFont val="Nirmala UI"/>
        <family val="0"/>
        <charset val="1"/>
      </rPr>
      <t xml:space="preserve">~1 </t>
    </r>
    <r>
      <rPr>
        <i val="true"/>
        <sz val="9"/>
        <color rgb="FF595959"/>
        <rFont val="FreeSans"/>
        <family val="2"/>
      </rPr>
      <t xml:space="preserve">டீஸ்பூன் எண்ணெய் </t>
    </r>
    <r>
      <rPr>
        <i val="true"/>
        <sz val="9"/>
        <color rgb="FF595959"/>
        <rFont val="Nirmala UI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நாளுக்கு </t>
    </r>
    <r>
      <rPr>
        <i val="true"/>
        <sz val="9"/>
        <color rgb="FF595959"/>
        <rFont val="Nirmala UI"/>
        <family val="0"/>
        <charset val="1"/>
      </rPr>
      <t xml:space="preserve">3–4 </t>
    </r>
    <r>
      <rPr>
        <i val="true"/>
        <sz val="9"/>
        <color rgb="FF595959"/>
        <rFont val="FreeSans"/>
        <family val="2"/>
      </rPr>
      <t xml:space="preserve">டீஸ்பூன்</t>
    </r>
    <r>
      <rPr>
        <i val="true"/>
        <sz val="9"/>
        <color rgb="FF595959"/>
        <rFont val="Nirmala UI"/>
        <family val="0"/>
        <charset val="1"/>
      </rPr>
      <t xml:space="preserve">). </t>
    </r>
    <r>
      <rPr>
        <i val="true"/>
        <sz val="9"/>
        <color rgb="FF595959"/>
        <rFont val="FreeSans"/>
        <family val="2"/>
      </rPr>
      <t xml:space="preserve">நாள் மொத்தம் தானாகக் கூட்டப்படும்</t>
    </r>
    <r>
      <rPr>
        <i val="true"/>
        <sz val="9"/>
        <color rgb="FF595959"/>
        <rFont val="Nirmala UI"/>
        <family val="0"/>
        <charset val="1"/>
      </rPr>
      <t xml:space="preserve">.</t>
    </r>
  </si>
  <si>
    <t xml:space="preserve">நாள்</t>
  </si>
  <si>
    <t xml:space="preserve">வேளை</t>
  </si>
  <si>
    <t xml:space="preserve">உணவு</t>
  </si>
  <si>
    <r>
      <rPr>
        <b val="true"/>
        <sz val="11"/>
        <color rgb="FFFFFFFF"/>
        <rFont val="FreeSans"/>
        <family val="2"/>
      </rPr>
      <t xml:space="preserve">அளவு </t>
    </r>
    <r>
      <rPr>
        <b val="true"/>
        <sz val="11"/>
        <color rgb="FFFFFFFF"/>
        <rFont val="Nirmala U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வீட்டு அளவு</t>
    </r>
    <r>
      <rPr>
        <b val="true"/>
        <sz val="11"/>
        <color rgb="FFFFFFFF"/>
        <rFont val="Nirmala UI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</si>
  <si>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தோராய அளவு </t>
    </r>
    <r>
      <rPr>
        <b val="true"/>
        <sz val="11"/>
        <color rgb="FFFFFFFF"/>
        <rFont val="Nirmala U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கிராம்</t>
    </r>
    <r>
      <rPr>
        <b val="true"/>
        <sz val="11"/>
        <color rgb="FFFFFFFF"/>
        <rFont val="Nirmala U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மி</t>
    </r>
    <r>
      <rPr>
        <b val="true"/>
        <sz val="11"/>
        <color rgb="FFFFFFFF"/>
        <rFont val="Nirmala UI"/>
        <family val="0"/>
        <charset val="1"/>
      </rPr>
      <t xml:space="preserve">.</t>
    </r>
    <r>
      <rPr>
        <b val="true"/>
        <sz val="11"/>
        <color rgb="FFFFFFFF"/>
        <rFont val="FreeSans"/>
        <family val="2"/>
      </rPr>
      <t xml:space="preserve">லி</t>
    </r>
    <r>
      <rPr>
        <b val="true"/>
        <sz val="11"/>
        <color rgb="FFFFFFFF"/>
        <rFont val="Nirmala UI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</si>
  <si>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தோராய </t>
    </r>
    <r>
      <rPr>
        <b val="true"/>
        <sz val="11"/>
        <color rgb="FFFFFFFF"/>
        <rFont val="Nirmala UI"/>
        <family val="0"/>
        <charset val="1"/>
      </rPr>
      <t xml:space="preserve">kcal</t>
    </r>
  </si>
  <si>
    <r>
      <rPr>
        <b val="true"/>
        <sz val="11"/>
        <color rgb="FFFFFFFF"/>
        <rFont val="FreeSans"/>
        <family val="2"/>
      </rPr>
      <t xml:space="preserve">புரதம் </t>
    </r>
    <r>
      <rPr>
        <b val="true"/>
        <sz val="11"/>
        <color rgb="FFFFFFFF"/>
        <rFont val="Nirmala U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கிராம்</t>
    </r>
    <r>
      <rPr>
        <b val="true"/>
        <sz val="11"/>
        <color rgb="FFFFFFFF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</si>
  <si>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1 (</t>
    </r>
    <r>
      <rPr>
        <sz val="11"/>
        <color rgb="FF000000"/>
        <rFont val="FreeSans"/>
        <family val="2"/>
      </rPr>
      <t xml:space="preserve">திங்கள்</t>
    </r>
    <r>
      <rPr>
        <sz val="11"/>
        <color rgb="FF000000"/>
        <rFont val="Nirmala UI"/>
        <family val="0"/>
        <charset val="1"/>
      </rPr>
      <t xml:space="preserve">)</t>
    </r>
  </si>
  <si>
    <t xml:space="preserve">காலை உணவு</t>
  </si>
  <si>
    <r>
      <rPr>
        <sz val="11"/>
        <color rgb="FF000000"/>
        <rFont val="FreeSans"/>
        <family val="2"/>
      </rPr>
      <t xml:space="preserve">கேழ்வரகு தோசை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தக்காளி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</si>
  <si>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நடுத்தர தோசை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ஒவ்வொன்றுக்கும் </t>
    </r>
    <r>
      <rPr>
        <sz val="11"/>
        <color rgb="FF000000"/>
        <rFont val="Nirmala UI"/>
        <family val="0"/>
        <charset val="1"/>
      </rPr>
      <t xml:space="preserve">½ </t>
    </r>
    <r>
      <rPr>
        <sz val="11"/>
        <color rgb="FF000000"/>
        <rFont val="FreeSans"/>
        <family val="2"/>
      </rPr>
      <t xml:space="preserve">டீஸ்பூன் எண்ணெய்</t>
    </r>
    <r>
      <rPr>
        <sz val="11"/>
        <color rgb="FF000000"/>
        <rFont val="Nirmala UI"/>
        <family val="0"/>
        <charset val="1"/>
      </rPr>
      <t xml:space="preserve">),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சாம்பார்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</si>
  <si>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120 </t>
    </r>
    <r>
      <rPr>
        <sz val="11"/>
        <color rgb="FF000000"/>
        <rFont val="FreeSans"/>
        <family val="2"/>
      </rPr>
      <t xml:space="preserve">கி தோசை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 சட்னி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சாம்பார்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காபி</t>
    </r>
  </si>
  <si>
    <r>
      <rPr>
        <sz val="11"/>
        <color rgb="FF000000"/>
        <rFont val="FreeSans"/>
        <family val="2"/>
      </rPr>
      <t xml:space="preserve">மதிய உணவு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டிஃபன்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</si>
  <si>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முளைக்கீரை கூட்டு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சிவப்பு அரிசி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பீன்ஸ் பொரியல்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தயிர்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</si>
  <si>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கப் கூட்டு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பொரியல்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தயிர்</t>
    </r>
  </si>
  <si>
    <r>
      <rPr>
        <sz val="11"/>
        <color rgb="FF000000"/>
        <rFont val="Nirmala UI"/>
        <family val="0"/>
        <charset val="1"/>
      </rPr>
      <t xml:space="preserve">200 </t>
    </r>
    <r>
      <rPr>
        <sz val="11"/>
        <color rgb="FF000000"/>
        <rFont val="FreeSans"/>
        <family val="2"/>
      </rPr>
      <t xml:space="preserve">கி கூட்டு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 சாதம்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 பொரியல்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கி தயிர்</t>
    </r>
  </si>
  <si>
    <t xml:space="preserve">மாலை சிற்றுண்டி</t>
  </si>
  <si>
    <r>
      <rPr>
        <sz val="11"/>
        <color rgb="FF000000"/>
        <rFont val="FreeSans"/>
        <family val="2"/>
      </rPr>
      <t xml:space="preserve">கொண்டைக்கடலை சுண்டல்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கொய்யாப்பழம்</t>
    </r>
  </si>
  <si>
    <r>
      <rPr>
        <sz val="11"/>
        <color rgb="FF000000"/>
        <rFont val="Nirmala UI"/>
        <family val="0"/>
        <charset val="1"/>
      </rPr>
      <t xml:space="preserve">½ </t>
    </r>
    <r>
      <rPr>
        <sz val="11"/>
        <color rgb="FF000000"/>
        <rFont val="FreeSans"/>
        <family val="2"/>
      </rPr>
      <t xml:space="preserve">கப் சுண்டல்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நடுத்தர கொய்யா</t>
    </r>
  </si>
  <si>
    <r>
      <rPr>
        <sz val="11"/>
        <color rgb="FF000000"/>
        <rFont val="Nirmala UI"/>
        <family val="0"/>
        <charset val="1"/>
      </rPr>
      <t xml:space="preserve">80 </t>
    </r>
    <r>
      <rPr>
        <sz val="11"/>
        <color rgb="FF000000"/>
        <rFont val="FreeSans"/>
        <family val="2"/>
      </rPr>
      <t xml:space="preserve">கி சுண்டல்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கி கொய்யா</t>
    </r>
  </si>
  <si>
    <t xml:space="preserve">இரவு உணவு</t>
  </si>
  <si>
    <r>
      <rPr>
        <sz val="11"/>
        <color rgb="FF000000"/>
        <rFont val="FreeSans"/>
        <family val="2"/>
      </rPr>
      <t xml:space="preserve">சப்பாத்தி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பனீர் பட்டாணி குருமா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வெள்ளரிக்காய் சாலட்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</si>
  <si>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சப்பாத்தி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நெய் இல்லாமல்</t>
    </r>
    <r>
      <rPr>
        <sz val="11"/>
        <color rgb="FF000000"/>
        <rFont val="Nirmala UI"/>
        <family val="0"/>
        <charset val="1"/>
      </rPr>
      <t xml:space="preserve">), ½ </t>
    </r>
    <r>
      <rPr>
        <sz val="11"/>
        <color rgb="FF000000"/>
        <rFont val="FreeSans"/>
        <family val="2"/>
      </rPr>
      <t xml:space="preserve">கப் குருமா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 தட்டு சாலட்</t>
    </r>
  </si>
  <si>
    <r>
      <rPr>
        <sz val="11"/>
        <color rgb="FF000000"/>
        <rFont val="Nirmala UI"/>
        <family val="0"/>
        <charset val="1"/>
      </rPr>
      <t xml:space="preserve">60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குருமாவில் </t>
    </r>
    <r>
      <rPr>
        <sz val="11"/>
        <color rgb="FF000000"/>
        <rFont val="Nirmala UI"/>
        <family val="0"/>
        <charset val="1"/>
      </rPr>
      <t xml:space="preserve">60 </t>
    </r>
    <r>
      <rPr>
        <sz val="11"/>
        <color rgb="FF000000"/>
        <rFont val="FreeSans"/>
        <family val="2"/>
      </rPr>
      <t xml:space="preserve">கி பனீர்</t>
    </r>
    <r>
      <rPr>
        <sz val="11"/>
        <color rgb="FF000000"/>
        <rFont val="Nirmala UI"/>
        <family val="0"/>
        <charset val="1"/>
      </rPr>
      <t xml:space="preserve">, 80 </t>
    </r>
    <r>
      <rPr>
        <sz val="11"/>
        <color rgb="FF000000"/>
        <rFont val="FreeSans"/>
        <family val="2"/>
      </rPr>
      <t xml:space="preserve">கி வெள்ளரி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</si>
  <si>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1 (</t>
    </r>
    <r>
      <rPr>
        <b val="true"/>
        <sz val="11"/>
        <rFont val="FreeSans"/>
        <family val="2"/>
      </rPr>
      <t xml:space="preserve">திங்கள்</t>
    </r>
    <r>
      <rPr>
        <b val="true"/>
        <sz val="11"/>
        <rFont val="Nirmala UI"/>
        <family val="0"/>
        <charset val="1"/>
      </rPr>
      <t xml:space="preserve">)</t>
    </r>
  </si>
  <si>
    <t xml:space="preserve">நாள் மொத்தம்</t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</si>
  <si>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2 (</t>
    </r>
    <r>
      <rPr>
        <sz val="11"/>
        <color rgb="FF000000"/>
        <rFont val="FreeSans"/>
        <family val="2"/>
      </rPr>
      <t xml:space="preserve">செவ்வாய்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</si>
  <si>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பெசரட்டு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இஞ்சி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</si>
  <si>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நடுத்தர பெசரட்டு</t>
    </r>
    <r>
      <rPr>
        <sz val="11"/>
        <color rgb="FF000000"/>
        <rFont val="Nirmala UI"/>
        <family val="0"/>
        <charset val="1"/>
      </rPr>
      <t xml:space="preserve">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</si>
  <si>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160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 சட்னி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காபி</t>
    </r>
  </si>
  <si>
    <r>
      <rPr>
        <sz val="11"/>
        <color rgb="FF000000"/>
        <rFont val="FreeSans"/>
        <family val="2"/>
      </rPr>
      <t xml:space="preserve">தினை சாம்பார்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வெள்ளரிக்காய் தயிர் பச்சடி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நீர் மோர்</t>
    </r>
  </si>
  <si>
    <r>
      <rPr>
        <sz val="11"/>
        <color rgb="FF000000"/>
        <rFont val="Nirmala UI"/>
        <family val="0"/>
        <charset val="1"/>
      </rPr>
      <t xml:space="preserve">1½ </t>
    </r>
    <r>
      <rPr>
        <sz val="11"/>
        <color rgb="FF000000"/>
        <rFont val="FreeSans"/>
        <family val="2"/>
      </rPr>
      <t xml:space="preserve">கப் சாம்பார்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பச்சடி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கிளாஸ் மோர்</t>
    </r>
  </si>
  <si>
    <r>
      <rPr>
        <sz val="11"/>
        <color rgb="FF000000"/>
        <rFont val="Nirmala UI"/>
        <family val="0"/>
        <charset val="1"/>
      </rPr>
      <t xml:space="preserve">300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200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</si>
  <si>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பச்சைப் பயறு சுண்டல்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ஆரஞ்சு</t>
    </r>
  </si>
  <si>
    <r>
      <rPr>
        <sz val="11"/>
        <color rgb="FF000000"/>
        <rFont val="Nirmala UI"/>
        <family val="0"/>
        <charset val="1"/>
      </rPr>
      <t xml:space="preserve">¾ </t>
    </r>
    <r>
      <rPr>
        <sz val="11"/>
        <color rgb="FF000000"/>
        <rFont val="FreeSans"/>
        <family val="2"/>
      </rPr>
      <t xml:space="preserve">கப் சுண்டல்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ஆரஞ்சு</t>
    </r>
  </si>
  <si>
    <r>
      <rPr>
        <sz val="11"/>
        <color rgb="FF000000"/>
        <rFont val="Nirmala UI"/>
        <family val="0"/>
        <charset val="1"/>
      </rPr>
      <t xml:space="preserve">120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130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</si>
  <si>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முருங்கைக்கீரை அடை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அவியல்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</si>
  <si>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நடுத்தர அடை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மொத்தம் </t>
    </r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டீஸ்பூன் எண்ணெய்</t>
    </r>
    <r>
      <rPr>
        <sz val="11"/>
        <color rgb="FF000000"/>
        <rFont val="Nirmala UI"/>
        <family val="0"/>
        <charset val="1"/>
      </rPr>
      <t xml:space="preserve">), ½ </t>
    </r>
    <r>
      <rPr>
        <sz val="11"/>
        <color rgb="FF000000"/>
        <rFont val="FreeSans"/>
        <family val="2"/>
      </rPr>
      <t xml:space="preserve">கப் அவியல்</t>
    </r>
  </si>
  <si>
    <r>
      <rPr>
        <sz val="11"/>
        <color rgb="FF000000"/>
        <rFont val="Nirmala UI"/>
        <family val="0"/>
        <charset val="1"/>
      </rPr>
      <t xml:space="preserve">180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 அவியல்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</si>
  <si>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2 (</t>
    </r>
    <r>
      <rPr>
        <b val="true"/>
        <sz val="11"/>
        <rFont val="FreeSans"/>
        <family val="2"/>
      </rPr>
      <t xml:space="preserve">செவ்வாய்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</si>
  <si>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3 (</t>
    </r>
    <r>
      <rPr>
        <sz val="11"/>
        <color rgb="FF000000"/>
        <rFont val="FreeSans"/>
        <family val="2"/>
      </rPr>
      <t xml:space="preserve">புதன்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</si>
  <si>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இட்லி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புதினா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</si>
  <si>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3 </t>
    </r>
    <r>
      <rPr>
        <sz val="11"/>
        <color rgb="FF000000"/>
        <rFont val="FreeSans"/>
        <family val="2"/>
      </rPr>
      <t xml:space="preserve">நடுத்தர இட்லி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சாம்பார்</t>
    </r>
    <r>
      <rPr>
        <sz val="11"/>
        <color rgb="FF000000"/>
        <rFont val="Nirmala UI"/>
        <family val="0"/>
        <charset val="1"/>
      </rPr>
      <t xml:space="preserve">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</si>
  <si>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150 </t>
    </r>
    <r>
      <rPr>
        <sz val="11"/>
        <color rgb="FF000000"/>
        <rFont val="FreeSans"/>
        <family val="2"/>
      </rPr>
      <t xml:space="preserve">கி இட்லி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சாம்பார்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 சட்னி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காபி</t>
    </r>
  </si>
  <si>
    <r>
      <rPr>
        <sz val="11"/>
        <color rgb="FF000000"/>
        <rFont val="FreeSans"/>
        <family val="2"/>
      </rPr>
      <t xml:space="preserve">கம்பு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கத்திரிக்காய் பருப்பு கூட்டு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கேரட் பொரியல்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தயிர்</t>
    </r>
  </si>
  <si>
    <r>
      <rPr>
        <sz val="11"/>
        <color rgb="FF000000"/>
        <rFont val="Nirmala UI"/>
        <family val="0"/>
        <charset val="1"/>
      </rPr>
      <t xml:space="preserve">½ </t>
    </r>
    <r>
      <rPr>
        <sz val="11"/>
        <color rgb="FF000000"/>
        <rFont val="FreeSans"/>
        <family val="2"/>
      </rPr>
      <t xml:space="preserve">கப் கம்பு சாதம்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கப் கூட்டு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பொரியல்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கிண்ணம் தயிர்</t>
    </r>
  </si>
  <si>
    <r>
      <rPr>
        <sz val="11"/>
        <color rgb="FF000000"/>
        <rFont val="Nirmala UI"/>
        <family val="0"/>
        <charset val="1"/>
      </rPr>
      <t xml:space="preserve">80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200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</si>
  <si>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வேகவைத்த வேர்க்கடலை சுண்டல்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பப்பாளி</t>
    </r>
  </si>
  <si>
    <r>
      <rPr>
        <sz val="11"/>
        <color rgb="FF000000"/>
        <rFont val="FreeSans"/>
        <family val="2"/>
      </rPr>
      <t xml:space="preserve">⅓ கப் சுண்டல்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கப் பப்பாளித் துண்டுகள்</t>
    </r>
  </si>
  <si>
    <r>
      <rPr>
        <sz val="11"/>
        <color rgb="FF000000"/>
        <rFont val="Nirmala UI"/>
        <family val="0"/>
        <charset val="1"/>
      </rPr>
      <t xml:space="preserve">50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</si>
  <si>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சப்பாத்தி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பாலக் பனீர்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கீரை பனீர்</t>
    </r>
    <r>
      <rPr>
        <sz val="11"/>
        <color rgb="FF000000"/>
        <rFont val="Nirmala UI"/>
        <family val="0"/>
        <charset val="1"/>
      </rPr>
      <t xml:space="preserve">) + </t>
    </r>
    <r>
      <rPr>
        <sz val="11"/>
        <color rgb="FF000000"/>
        <rFont val="FreeSans"/>
        <family val="2"/>
      </rPr>
      <t xml:space="preserve">வெங்காய சாலட்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</si>
  <si>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சப்பாத்தி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கீரை பனீர்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சிறிய தட்டு சாலட்</t>
    </r>
  </si>
  <si>
    <r>
      <rPr>
        <sz val="11"/>
        <color rgb="FF000000"/>
        <rFont val="Nirmala UI"/>
        <family val="0"/>
        <charset val="1"/>
      </rPr>
      <t xml:space="preserve">60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 பனீர் </t>
    </r>
    <r>
      <rPr>
        <sz val="11"/>
        <color rgb="FF000000"/>
        <rFont val="Nirmala UI"/>
        <family val="0"/>
        <charset val="1"/>
      </rPr>
      <t xml:space="preserve">+ 100 </t>
    </r>
    <r>
      <rPr>
        <sz val="11"/>
        <color rgb="FF000000"/>
        <rFont val="FreeSans"/>
        <family val="2"/>
      </rPr>
      <t xml:space="preserve">கி பாலக்</t>
    </r>
    <r>
      <rPr>
        <sz val="11"/>
        <color rgb="FF000000"/>
        <rFont val="Nirmala UI"/>
        <family val="0"/>
        <charset val="1"/>
      </rPr>
      <t xml:space="preserve">, 60 </t>
    </r>
    <r>
      <rPr>
        <sz val="11"/>
        <color rgb="FF000000"/>
        <rFont val="FreeSans"/>
        <family val="2"/>
      </rPr>
      <t xml:space="preserve">கி சாலட்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</si>
  <si>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3 (</t>
    </r>
    <r>
      <rPr>
        <b val="true"/>
        <sz val="11"/>
        <rFont val="FreeSans"/>
        <family val="2"/>
      </rPr>
      <t xml:space="preserve">புதன்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</si>
  <si>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4 (</t>
    </r>
    <r>
      <rPr>
        <sz val="11"/>
        <color rgb="FF000000"/>
        <rFont val="FreeSans"/>
        <family val="2"/>
      </rPr>
      <t xml:space="preserve">வியாழன்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</si>
  <si>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சாமை பொங்கல்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தக்காளி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</si>
  <si>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¾ </t>
    </r>
    <r>
      <rPr>
        <sz val="11"/>
        <color rgb="FF000000"/>
        <rFont val="FreeSans"/>
        <family val="2"/>
      </rPr>
      <t xml:space="preserve">கப் பொங்கல் </t>
    </r>
    <r>
      <rPr>
        <sz val="11"/>
        <color rgb="FF000000"/>
        <rFont val="Nirmala UI"/>
        <family val="0"/>
        <charset val="1"/>
      </rPr>
      <t xml:space="preserve">(½ </t>
    </r>
    <r>
      <rPr>
        <sz val="11"/>
        <color rgb="FF000000"/>
        <rFont val="FreeSans"/>
        <family val="2"/>
      </rPr>
      <t xml:space="preserve">டீஸ்பூன் நெய்</t>
    </r>
    <r>
      <rPr>
        <sz val="11"/>
        <color rgb="FF000000"/>
        <rFont val="Nirmala UI"/>
        <family val="0"/>
        <charset val="1"/>
      </rPr>
      <t xml:space="preserve">),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கிண்ணம் சாம்பார்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</si>
  <si>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180 </t>
    </r>
    <r>
      <rPr>
        <sz val="11"/>
        <color rgb="FF000000"/>
        <rFont val="FreeSans"/>
        <family val="2"/>
      </rPr>
      <t xml:space="preserve">கி பொங்கல்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 சட்னி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சாம்பார்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காபி</t>
    </r>
  </si>
  <si>
    <r>
      <rPr>
        <sz val="11"/>
        <color rgb="FF000000"/>
        <rFont val="FreeSans"/>
        <family val="2"/>
      </rPr>
      <t xml:space="preserve">தக்காளி பருப்பு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சிவப்பு அரிசி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கோவைக்காய் பொரியல்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தயிர்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</si>
  <si>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பெரிய கிண்ணம் பருப்பு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பொரியல்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தயிர்</t>
    </r>
  </si>
  <si>
    <r>
      <rPr>
        <sz val="11"/>
        <color rgb="FF000000"/>
        <rFont val="Nirmala UI"/>
        <family val="0"/>
        <charset val="1"/>
      </rPr>
      <t xml:space="preserve">200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</si>
  <si>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காராமணி சுண்டல்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ஆப்பிள்</t>
    </r>
  </si>
  <si>
    <r>
      <rPr>
        <sz val="11"/>
        <color rgb="FF000000"/>
        <rFont val="Nirmala UI"/>
        <family val="0"/>
        <charset val="1"/>
      </rPr>
      <t xml:space="preserve">½ </t>
    </r>
    <r>
      <rPr>
        <sz val="11"/>
        <color rgb="FF000000"/>
        <rFont val="FreeSans"/>
        <family val="2"/>
      </rPr>
      <t xml:space="preserve">கப் சுண்டல்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 ஆப்பிள்</t>
    </r>
  </si>
  <si>
    <r>
      <rPr>
        <sz val="11"/>
        <color rgb="FF000000"/>
        <rFont val="Nirmala UI"/>
        <family val="0"/>
        <charset val="1"/>
      </rPr>
      <t xml:space="preserve">80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130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</si>
  <si>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கேழ்வரகு இடியாப்பம்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பனீர் காய்கறி குருமா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முருங்கைக்கீரை பொரியல்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</si>
  <si>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இடியாப்பம்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குருமா</t>
    </r>
    <r>
      <rPr>
        <sz val="11"/>
        <color rgb="FF000000"/>
        <rFont val="Nirmala UI"/>
        <family val="0"/>
        <charset val="1"/>
      </rPr>
      <t xml:space="preserve">, ¼ </t>
    </r>
    <r>
      <rPr>
        <sz val="11"/>
        <color rgb="FF000000"/>
        <rFont val="FreeSans"/>
        <family val="2"/>
      </rPr>
      <t xml:space="preserve">கப் பொரியல்</t>
    </r>
  </si>
  <si>
    <r>
      <rPr>
        <sz val="11"/>
        <color rgb="FF000000"/>
        <rFont val="Nirmala UI"/>
        <family val="0"/>
        <charset val="1"/>
      </rPr>
      <t xml:space="preserve">80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குருமாவில் </t>
    </r>
    <r>
      <rPr>
        <sz val="11"/>
        <color rgb="FF000000"/>
        <rFont val="Nirmala UI"/>
        <family val="0"/>
        <charset val="1"/>
      </rPr>
      <t xml:space="preserve">75 </t>
    </r>
    <r>
      <rPr>
        <sz val="11"/>
        <color rgb="FF000000"/>
        <rFont val="FreeSans"/>
        <family val="2"/>
      </rPr>
      <t xml:space="preserve">கி பனீர்</t>
    </r>
    <r>
      <rPr>
        <sz val="11"/>
        <color rgb="FF000000"/>
        <rFont val="Nirmala UI"/>
        <family val="0"/>
        <charset val="1"/>
      </rPr>
      <t xml:space="preserve">, 50 </t>
    </r>
    <r>
      <rPr>
        <sz val="11"/>
        <color rgb="FF000000"/>
        <rFont val="FreeSans"/>
        <family val="2"/>
      </rPr>
      <t xml:space="preserve">கி பொரியல்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</si>
  <si>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4 (</t>
    </r>
    <r>
      <rPr>
        <b val="true"/>
        <sz val="11"/>
        <rFont val="FreeSans"/>
        <family val="2"/>
      </rPr>
      <t xml:space="preserve">வியாழன்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</si>
  <si>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5 (</t>
    </r>
    <r>
      <rPr>
        <sz val="11"/>
        <color rgb="FF000000"/>
        <rFont val="FreeSans"/>
        <family val="2"/>
      </rPr>
      <t xml:space="preserve">வெள்ளி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</si>
  <si>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காய்கறி குழிப்பணியாரம்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</si>
  <si>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5 </t>
    </r>
    <r>
      <rPr>
        <sz val="11"/>
        <color rgb="FF000000"/>
        <rFont val="FreeSans"/>
        <family val="2"/>
      </rPr>
      <t xml:space="preserve">சிறிய பணியாரம் </t>
    </r>
    <r>
      <rPr>
        <sz val="11"/>
        <color rgb="FF000000"/>
        <rFont val="Nirmala UI"/>
        <family val="0"/>
        <charset val="1"/>
      </rPr>
      <t xml:space="preserve">(1 </t>
    </r>
    <r>
      <rPr>
        <sz val="11"/>
        <color rgb="FF000000"/>
        <rFont val="FreeSans"/>
        <family val="2"/>
      </rPr>
      <t xml:space="preserve">டீஸ்பூன் எண்ணெய்</t>
    </r>
    <r>
      <rPr>
        <sz val="11"/>
        <color rgb="FF000000"/>
        <rFont val="Nirmala UI"/>
        <family val="0"/>
        <charset val="1"/>
      </rPr>
      <t xml:space="preserve">), 1 </t>
    </r>
    <r>
      <rPr>
        <sz val="11"/>
        <color rgb="FF000000"/>
        <rFont val="FreeSans"/>
        <family val="2"/>
      </rPr>
      <t xml:space="preserve">கிண்ணம் சாம்பார்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</si>
  <si>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125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</si>
  <si>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வரகு தயிர் சாதம்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வெள்ளரிக்காயுடன்</t>
    </r>
    <r>
      <rPr>
        <sz val="11"/>
        <color rgb="FF000000"/>
        <rFont val="Nirmala UI"/>
        <family val="0"/>
        <charset val="1"/>
      </rPr>
      <t xml:space="preserve">) + </t>
    </r>
    <r>
      <rPr>
        <sz val="11"/>
        <color rgb="FF000000"/>
        <rFont val="FreeSans"/>
        <family val="2"/>
      </rPr>
      <t xml:space="preserve">பாசிப்பருப்பு கோசம்பரி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பீட்ரூட்</t>
    </r>
    <r>
      <rPr>
        <sz val="11"/>
        <color rgb="FF000000"/>
        <rFont val="Nirmala UI"/>
        <family val="0"/>
        <charset val="1"/>
      </rPr>
      <t xml:space="preserve">-</t>
    </r>
    <r>
      <rPr>
        <sz val="11"/>
        <color rgb="FF000000"/>
        <rFont val="FreeSans"/>
        <family val="2"/>
      </rPr>
      <t xml:space="preserve">கேரட் சாலட்</t>
    </r>
  </si>
  <si>
    <r>
      <rPr>
        <sz val="11"/>
        <color rgb="FF000000"/>
        <rFont val="Nirmala UI"/>
        <family val="0"/>
        <charset val="1"/>
      </rPr>
      <t xml:space="preserve">1½ </t>
    </r>
    <r>
      <rPr>
        <sz val="11"/>
        <color rgb="FF000000"/>
        <rFont val="FreeSans"/>
        <family val="2"/>
      </rPr>
      <t xml:space="preserve">கப் தயிர்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கோசம்பரி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சாலட்</t>
    </r>
  </si>
  <si>
    <r>
      <rPr>
        <sz val="11"/>
        <color rgb="FF000000"/>
        <rFont val="Nirmala UI"/>
        <family val="0"/>
        <charset val="1"/>
      </rPr>
      <t xml:space="preserve">300 </t>
    </r>
    <r>
      <rPr>
        <sz val="11"/>
        <color rgb="FF000000"/>
        <rFont val="FreeSans"/>
        <family val="2"/>
      </rPr>
      <t xml:space="preserve">கி </t>
    </r>
    <r>
      <rPr>
        <sz val="11"/>
        <color rgb="FF000000"/>
        <rFont val="Nirmala UI"/>
        <family val="0"/>
        <charset val="1"/>
      </rPr>
      <t xml:space="preserve">(200 </t>
    </r>
    <r>
      <rPr>
        <sz val="11"/>
        <color rgb="FF000000"/>
        <rFont val="FreeSans"/>
        <family val="2"/>
      </rPr>
      <t xml:space="preserve">கி தயிருடன்</t>
    </r>
    <r>
      <rPr>
        <sz val="11"/>
        <color rgb="FF000000"/>
        <rFont val="Nirmala UI"/>
        <family val="0"/>
        <charset val="1"/>
      </rPr>
      <t xml:space="preserve">), 60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80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</si>
  <si>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முளைகட்டிய பயறு சாலட்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பொட்டுக்கடலை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பப்பாளி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</si>
  <si>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கப் முளைப்பயறு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டேபிள்ஸ்பூன் பொட்டுக்கடலை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கப் பப்பாளி</t>
    </r>
  </si>
  <si>
    <r>
      <rPr>
        <sz val="11"/>
        <color rgb="FF000000"/>
        <rFont val="Nirmala UI"/>
        <family val="0"/>
        <charset val="1"/>
      </rPr>
      <t xml:space="preserve">100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</si>
  <si>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சப்பாத்தி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பச்சைப் பயறு குழம்பு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வெங்காய</t>
    </r>
    <r>
      <rPr>
        <sz val="11"/>
        <color rgb="FF000000"/>
        <rFont val="Nirmala UI"/>
        <family val="0"/>
        <charset val="1"/>
      </rPr>
      <t xml:space="preserve">-</t>
    </r>
    <r>
      <rPr>
        <sz val="11"/>
        <color rgb="FF000000"/>
        <rFont val="FreeSans"/>
        <family val="2"/>
      </rPr>
      <t xml:space="preserve">வெள்ளரி சாலட்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</si>
  <si>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சப்பாத்தி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பெரிய கிண்ணம் குழம்பு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சிறிய தட்டு சாலட்</t>
    </r>
  </si>
  <si>
    <r>
      <rPr>
        <sz val="11"/>
        <color rgb="FF000000"/>
        <rFont val="Nirmala UI"/>
        <family val="0"/>
        <charset val="1"/>
      </rPr>
      <t xml:space="preserve">60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200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60 </t>
    </r>
    <r>
      <rPr>
        <sz val="11"/>
        <color rgb="FF000000"/>
        <rFont val="FreeSans"/>
        <family val="2"/>
      </rPr>
      <t xml:space="preserve">கி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</si>
  <si>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5 (</t>
    </r>
    <r>
      <rPr>
        <b val="true"/>
        <sz val="11"/>
        <rFont val="FreeSans"/>
        <family val="2"/>
      </rPr>
      <t xml:space="preserve">வெள்ளி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</si>
  <si>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6 (</t>
    </r>
    <r>
      <rPr>
        <sz val="11"/>
        <color rgb="FF000000"/>
        <rFont val="FreeSans"/>
        <family val="2"/>
      </rPr>
      <t xml:space="preserve">சனி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</si>
  <si>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தினை காய்கறி உப்புமா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தேங்காய்</t>
    </r>
    <r>
      <rPr>
        <sz val="11"/>
        <color rgb="FF000000"/>
        <rFont val="Nirmala UI"/>
        <family val="0"/>
        <charset val="1"/>
      </rPr>
      <t xml:space="preserve">-</t>
    </r>
    <r>
      <rPr>
        <sz val="11"/>
        <color rgb="FF000000"/>
        <rFont val="FreeSans"/>
        <family val="2"/>
      </rPr>
      <t xml:space="preserve">பொட்டுக்கடலை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</si>
  <si>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¾ </t>
    </r>
    <r>
      <rPr>
        <sz val="11"/>
        <color rgb="FF000000"/>
        <rFont val="FreeSans"/>
        <family val="2"/>
      </rPr>
      <t xml:space="preserve">கப் உப்புமா</t>
    </r>
    <r>
      <rPr>
        <sz val="11"/>
        <color rgb="FF000000"/>
        <rFont val="Nirmala UI"/>
        <family val="0"/>
        <charset val="1"/>
      </rPr>
      <t xml:space="preserve">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</si>
  <si>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150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</si>
  <si>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மதிய உணவு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வீட்டில்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</si>
  <si>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முருங்கைக்காய் 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சிவப்பு அரிசி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அவியல்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ரசம்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தயிர்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</si>
  <si>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பெரிய கிண்ணம் சாம்பார்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அவியல்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 கிண்ணம் ரசம்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கிண்ணம் தயிர்</t>
    </r>
  </si>
  <si>
    <r>
      <rPr>
        <sz val="11"/>
        <color rgb="FF000000"/>
        <rFont val="Nirmala UI"/>
        <family val="0"/>
        <charset val="1"/>
      </rPr>
      <t xml:space="preserve">200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</si>
  <si>
    <r>
      <rPr>
        <sz val="11"/>
        <color rgb="FF000000"/>
        <rFont val="FreeSans"/>
        <family val="2"/>
      </rPr>
      <t xml:space="preserve">வேர்க்கடலை சுண்டல்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மசாலா மோர்</t>
    </r>
  </si>
  <si>
    <r>
      <rPr>
        <sz val="11"/>
        <color rgb="FF000000"/>
        <rFont val="FreeSans"/>
        <family val="2"/>
      </rPr>
      <t xml:space="preserve">⅓ கப் சுண்டல்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கிளாஸ் மோர்</t>
    </r>
  </si>
  <si>
    <r>
      <rPr>
        <sz val="11"/>
        <color rgb="FF000000"/>
        <rFont val="Nirmala UI"/>
        <family val="0"/>
        <charset val="1"/>
      </rPr>
      <t xml:space="preserve">50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200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</si>
  <si>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கோதுமை தோசை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செட்டிநாடு பனீர் மசாலா</t>
    </r>
  </si>
  <si>
    <r>
      <rPr>
        <sz val="11"/>
        <color rgb="FF000000"/>
        <rFont val="Nirmala UI"/>
        <family val="0"/>
        <charset val="1"/>
      </rPr>
      <t xml:space="preserve">2 </t>
    </r>
    <r>
      <rPr>
        <sz val="11"/>
        <color rgb="FF000000"/>
        <rFont val="FreeSans"/>
        <family val="2"/>
      </rPr>
      <t xml:space="preserve">தோசை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மொத்தம் </t>
    </r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டீஸ்பூன் எண்ணெய்</t>
    </r>
    <r>
      <rPr>
        <sz val="11"/>
        <color rgb="FF000000"/>
        <rFont val="Nirmala UI"/>
        <family val="0"/>
        <charset val="1"/>
      </rPr>
      <t xml:space="preserve">), ½ </t>
    </r>
    <r>
      <rPr>
        <sz val="11"/>
        <color rgb="FF000000"/>
        <rFont val="FreeSans"/>
        <family val="2"/>
      </rPr>
      <t xml:space="preserve">கப் மசாலா</t>
    </r>
  </si>
  <si>
    <r>
      <rPr>
        <sz val="11"/>
        <color rgb="FF000000"/>
        <rFont val="Nirmala UI"/>
        <family val="0"/>
        <charset val="1"/>
      </rPr>
      <t xml:space="preserve">70 </t>
    </r>
    <r>
      <rPr>
        <sz val="11"/>
        <color rgb="FF000000"/>
        <rFont val="FreeSans"/>
        <family val="2"/>
      </rPr>
      <t xml:space="preserve">கி மாவு</t>
    </r>
    <r>
      <rPr>
        <sz val="11"/>
        <color rgb="FF000000"/>
        <rFont val="Nirmala UI"/>
        <family val="0"/>
        <charset val="1"/>
      </rPr>
      <t xml:space="preserve">, 120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 கிரேவியில் </t>
    </r>
    <r>
      <rPr>
        <sz val="11"/>
        <color rgb="FF000000"/>
        <rFont val="Nirmala UI"/>
        <family val="0"/>
        <charset val="1"/>
      </rPr>
      <t xml:space="preserve">75 </t>
    </r>
    <r>
      <rPr>
        <sz val="11"/>
        <color rgb="FF000000"/>
        <rFont val="FreeSans"/>
        <family val="2"/>
      </rPr>
      <t xml:space="preserve">கி பனீர்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</si>
  <si>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6 (</t>
    </r>
    <r>
      <rPr>
        <b val="true"/>
        <sz val="11"/>
        <rFont val="FreeSans"/>
        <family val="2"/>
      </rPr>
      <t xml:space="preserve">சனி</t>
    </r>
    <r>
      <rPr>
        <b val="true"/>
        <sz val="11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</si>
  <si>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நாள் </t>
    </r>
    <r>
      <rPr>
        <sz val="11"/>
        <color rgb="FF000000"/>
        <rFont val="Nirmala UI"/>
        <family val="0"/>
        <charset val="1"/>
      </rPr>
      <t xml:space="preserve">7 (</t>
    </r>
    <r>
      <rPr>
        <sz val="11"/>
        <color rgb="FF000000"/>
        <rFont val="FreeSans"/>
        <family val="2"/>
      </rPr>
      <t xml:space="preserve">ஞாயிறு</t>
    </r>
    <r>
      <rPr>
        <sz val="11"/>
        <color rgb="FF000000"/>
        <rFont val="Nirmala UI"/>
        <family val="0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</si>
  <si>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இட்லி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மெது வடை </t>
    </r>
    <r>
      <rPr>
        <sz val="11"/>
        <color rgb="FF000000"/>
        <rFont val="Nirmala UI"/>
        <family val="0"/>
        <charset val="1"/>
      </rPr>
      <t xml:space="preserve">(</t>
    </r>
    <r>
      <rPr>
        <sz val="11"/>
        <color rgb="FF000000"/>
        <rFont val="FreeSans"/>
        <family val="2"/>
      </rPr>
      <t xml:space="preserve">வாரத்துக்கு ஒரு முறை ட்ரீட்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சிறியது</t>
    </r>
    <r>
      <rPr>
        <sz val="11"/>
        <color rgb="FF000000"/>
        <rFont val="Nirmala UI"/>
        <family val="0"/>
        <charset val="1"/>
      </rPr>
      <t xml:space="preserve">) + </t>
    </r>
    <r>
      <rPr>
        <sz val="11"/>
        <color rgb="FF000000"/>
        <rFont val="FreeSans"/>
        <family val="2"/>
      </rPr>
      <t xml:space="preserve">சாம்பார்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தேங்காய் சட்னி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ஃபில்டர் காபி</t>
    </r>
  </si>
  <si>
    <r>
      <rPr>
        <sz val="11"/>
        <color rgb="FF000000"/>
        <rFont val="Nirmala UI"/>
        <family val="0"/>
        <charset val="1"/>
      </rPr>
      <t xml:space="preserve">3 </t>
    </r>
    <r>
      <rPr>
        <sz val="11"/>
        <color rgb="FF000000"/>
        <rFont val="FreeSans"/>
        <family val="2"/>
      </rPr>
      <t xml:space="preserve">நடுத்தர இட்லி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 வடை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கிண்ணம் சாம்பார்</t>
    </r>
    <r>
      <rPr>
        <sz val="11"/>
        <color rgb="FF000000"/>
        <rFont val="Nirmala UI"/>
        <family val="0"/>
        <charset val="1"/>
      </rPr>
      <t xml:space="preserve">, 2 </t>
    </r>
    <r>
      <rPr>
        <sz val="11"/>
        <color rgb="FF000000"/>
        <rFont val="FreeSans"/>
        <family val="2"/>
      </rPr>
      <t xml:space="preserve">டேபிள்ஸ்பூன் சட்னி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டம்ளர் காபி</t>
    </r>
  </si>
  <si>
    <r>
      <rPr>
        <sz val="11"/>
        <color rgb="FF000000"/>
        <rFont val="Nirmala UI"/>
        <family val="0"/>
        <charset val="1"/>
      </rPr>
      <t xml:space="preserve">150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40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30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</si>
  <si>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மோர்க்குழம்பு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சிவப்பு அரிசி சாதம்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பீன்ஸ் பருப்பு உசிலி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பசலைக்கீரை பொரியல்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ரசம்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</si>
  <si>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கிண்ணம் குழம்பு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சாதம்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உசிலி</t>
    </r>
    <r>
      <rPr>
        <sz val="11"/>
        <color rgb="FF000000"/>
        <rFont val="Nirmala UI"/>
        <family val="0"/>
        <charset val="1"/>
      </rPr>
      <t xml:space="preserve">, ¼ </t>
    </r>
    <r>
      <rPr>
        <sz val="11"/>
        <color rgb="FF000000"/>
        <rFont val="FreeSans"/>
        <family val="2"/>
      </rPr>
      <t xml:space="preserve">கப் பொரியல்</t>
    </r>
    <r>
      <rPr>
        <sz val="11"/>
        <color rgb="FF000000"/>
        <rFont val="Nirmala UI"/>
        <family val="0"/>
        <charset val="1"/>
      </rPr>
      <t xml:space="preserve">, 1 </t>
    </r>
    <r>
      <rPr>
        <sz val="11"/>
        <color rgb="FF000000"/>
        <rFont val="FreeSans"/>
        <family val="2"/>
      </rPr>
      <t xml:space="preserve">சிறிய கிண்ணம் ரசம்</t>
    </r>
  </si>
  <si>
    <r>
      <rPr>
        <sz val="11"/>
        <color rgb="FF000000"/>
        <rFont val="Nirmala UI"/>
        <family val="0"/>
        <charset val="1"/>
      </rPr>
      <t xml:space="preserve">150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  <r>
      <rPr>
        <sz val="11"/>
        <color rgb="FF000000"/>
        <rFont val="Nirmala UI"/>
        <family val="0"/>
        <charset val="1"/>
      </rPr>
      <t xml:space="preserve">, 75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50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மி</t>
    </r>
    <r>
      <rPr>
        <sz val="11"/>
        <color rgb="FF000000"/>
        <rFont val="Nirmala UI"/>
        <family val="0"/>
        <charset val="1"/>
      </rPr>
      <t xml:space="preserve">.</t>
    </r>
    <r>
      <rPr>
        <sz val="11"/>
        <color rgb="FF000000"/>
        <rFont val="FreeSans"/>
        <family val="2"/>
      </rPr>
      <t xml:space="preserve">லி</t>
    </r>
  </si>
  <si>
    <r>
      <rPr>
        <sz val="11"/>
        <color rgb="FF000000"/>
        <rFont val="FreeSans"/>
        <family val="2"/>
      </rPr>
      <t xml:space="preserve">பாசிப்பருப்பு காய்கறி கிச்சடி </t>
    </r>
    <r>
      <rPr>
        <sz val="11"/>
        <color rgb="FF000000"/>
        <rFont val="Nirmala UI"/>
        <family val="0"/>
        <charset val="1"/>
      </rPr>
      <t xml:space="preserve">+ </t>
    </r>
    <r>
      <rPr>
        <sz val="11"/>
        <color rgb="FF000000"/>
        <rFont val="FreeSans"/>
        <family val="2"/>
      </rPr>
      <t xml:space="preserve">வெள்ளரிக்காய் ரைத்தா</t>
    </r>
  </si>
  <si>
    <r>
      <rPr>
        <sz val="11"/>
        <color rgb="FF000000"/>
        <rFont val="Nirmala UI"/>
        <family val="0"/>
        <charset val="1"/>
      </rPr>
      <t xml:space="preserve">1 </t>
    </r>
    <r>
      <rPr>
        <sz val="11"/>
        <color rgb="FF000000"/>
        <rFont val="FreeSans"/>
        <family val="2"/>
      </rPr>
      <t xml:space="preserve">கப் கிச்சடி</t>
    </r>
    <r>
      <rPr>
        <sz val="11"/>
        <color rgb="FF000000"/>
        <rFont val="Nirmala UI"/>
        <family val="0"/>
        <charset val="1"/>
      </rPr>
      <t xml:space="preserve">, ½ </t>
    </r>
    <r>
      <rPr>
        <sz val="11"/>
        <color rgb="FF000000"/>
        <rFont val="FreeSans"/>
        <family val="2"/>
      </rPr>
      <t xml:space="preserve">கப் ரைத்தா</t>
    </r>
  </si>
  <si>
    <r>
      <rPr>
        <sz val="11"/>
        <color rgb="FF000000"/>
        <rFont val="Nirmala UI"/>
        <family val="0"/>
        <charset val="1"/>
      </rPr>
      <t xml:space="preserve">200 </t>
    </r>
    <r>
      <rPr>
        <sz val="11"/>
        <color rgb="FF000000"/>
        <rFont val="FreeSans"/>
        <family val="2"/>
      </rPr>
      <t xml:space="preserve">கி</t>
    </r>
    <r>
      <rPr>
        <sz val="11"/>
        <color rgb="FF000000"/>
        <rFont val="Nirmala UI"/>
        <family val="0"/>
        <charset val="1"/>
      </rPr>
      <t xml:space="preserve">, 100 </t>
    </r>
    <r>
      <rPr>
        <sz val="11"/>
        <color rgb="FF000000"/>
        <rFont val="FreeSans"/>
        <family val="2"/>
      </rPr>
      <t xml:space="preserve">கி</t>
    </r>
  </si>
  <si>
    <r>
      <rPr>
        <b val="true"/>
        <sz val="11"/>
        <rFont val="FreeSans"/>
        <family val="2"/>
      </rPr>
      <t xml:space="preserve">நாள் </t>
    </r>
    <r>
      <rPr>
        <b val="true"/>
        <sz val="11"/>
        <rFont val="Nirmala UI"/>
        <family val="0"/>
        <charset val="1"/>
      </rPr>
      <t xml:space="preserve">7 (</t>
    </r>
    <r>
      <rPr>
        <b val="true"/>
        <sz val="11"/>
        <rFont val="FreeSans"/>
        <family val="2"/>
      </rPr>
      <t xml:space="preserve">ஞாயிறு</t>
    </r>
    <r>
      <rPr>
        <b val="true"/>
        <sz val="11"/>
        <rFont val="Nirmala UI"/>
        <family val="0"/>
        <charset val="1"/>
      </rPr>
      <t xml:space="preserve">)</t>
    </r>
  </si>
  <si>
    <r>
      <rPr>
        <b val="true"/>
        <sz val="11"/>
        <rFont val="FreeSans"/>
        <family val="2"/>
      </rPr>
      <t xml:space="preserve">வார சராசரி </t>
    </r>
    <r>
      <rPr>
        <b val="true"/>
        <sz val="11"/>
        <rFont val="Nirmala UI"/>
        <family val="0"/>
        <charset val="1"/>
      </rPr>
      <t xml:space="preserve">/ </t>
    </r>
    <r>
      <rPr>
        <b val="true"/>
        <sz val="11"/>
        <rFont val="FreeSans"/>
        <family val="2"/>
      </rPr>
      <t xml:space="preserve">நாள்</t>
    </r>
  </si>
  <si>
    <r>
      <rPr>
        <b val="true"/>
        <sz val="11"/>
        <rFont val="FreeSans"/>
        <family val="2"/>
      </rPr>
      <t xml:space="preserve">இலக்கு </t>
    </r>
    <r>
      <rPr>
        <b val="true"/>
        <sz val="11"/>
        <rFont val="Nirmala UI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ஆற்றல் இலக்கிலிருந்து</t>
    </r>
    <r>
      <rPr>
        <b val="true"/>
        <sz val="11"/>
        <rFont val="Nirmala UI"/>
        <family val="0"/>
        <charset val="1"/>
      </rPr>
      <t xml:space="preserve">)</t>
    </r>
  </si>
  <si>
    <r>
      <rPr>
        <i val="true"/>
        <sz val="9"/>
        <rFont val="FreeSans"/>
        <family val="2"/>
      </rPr>
      <t xml:space="preserve">நீல எண்கள் நீங்கள் மாற்றக்கூடிய மதிப்பீடுகள்</t>
    </r>
    <r>
      <rPr>
        <i val="true"/>
        <sz val="9"/>
        <rFont val="Nirmala UI"/>
        <family val="0"/>
        <charset val="1"/>
      </rPr>
      <t xml:space="preserve">; </t>
    </r>
    <r>
      <rPr>
        <i val="true"/>
        <sz val="9"/>
        <rFont val="FreeSans"/>
        <family val="2"/>
      </rPr>
      <t xml:space="preserve">நாள் மொத்தமும் சராசரியும் தானாக மாறும்</t>
    </r>
    <r>
      <rPr>
        <i val="true"/>
        <sz val="9"/>
        <rFont val="Nirmala UI"/>
        <family val="0"/>
        <charset val="1"/>
      </rPr>
      <t xml:space="preserve">.</t>
    </r>
  </si>
  <si>
    <t xml:space="preserve">வார சுருக்கம்</t>
  </si>
  <si>
    <r>
      <rPr>
        <i val="true"/>
        <sz val="9"/>
        <color rgb="FF595959"/>
        <rFont val="FreeSans"/>
        <family val="2"/>
      </rPr>
      <t xml:space="preserve">மொத்தங்கள் உணவுத் திட்டத் தாளிலிருந்து இணைக்கப்பட்டுள்ளன </t>
    </r>
    <r>
      <rPr>
        <i val="true"/>
        <sz val="9"/>
        <color rgb="FF595959"/>
        <rFont val="Nirmala UI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பச்சை</t>
    </r>
    <r>
      <rPr>
        <i val="true"/>
        <sz val="9"/>
        <color rgb="FF595959"/>
        <rFont val="Nirmala UI"/>
        <family val="0"/>
        <charset val="1"/>
      </rPr>
      <t xml:space="preserve">).</t>
    </r>
  </si>
  <si>
    <r>
      <rPr>
        <b val="true"/>
        <sz val="11"/>
        <color rgb="FFFFFFFF"/>
        <rFont val="FreeSans"/>
        <family val="2"/>
      </rPr>
      <t xml:space="preserve">மொத்த </t>
    </r>
    <r>
      <rPr>
        <b val="true"/>
        <sz val="11"/>
        <color rgb="FFFFFFFF"/>
        <rFont val="Nirmala UI"/>
        <family val="0"/>
        <charset val="1"/>
      </rPr>
      <t xml:space="preserve">kcal</t>
    </r>
  </si>
  <si>
    <r>
      <rPr>
        <b val="true"/>
        <sz val="11"/>
        <color rgb="FFFFFFFF"/>
        <rFont val="FreeSans"/>
        <family val="2"/>
      </rPr>
      <t xml:space="preserve">மொத்த புரதம் </t>
    </r>
    <r>
      <rPr>
        <b val="true"/>
        <sz val="11"/>
        <color rgb="FFFFFFFF"/>
        <rFont val="Nirmala U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கிராம்</t>
    </r>
    <r>
      <rPr>
        <b val="true"/>
        <sz val="11"/>
        <color rgb="FFFFFFFF"/>
        <rFont val="Nirmala UI"/>
        <family val="0"/>
        <charset val="1"/>
      </rPr>
      <t xml:space="preserve">)</t>
    </r>
  </si>
  <si>
    <t xml:space="preserve">இலக்கிலிருந்து வேறுபாடு</t>
  </si>
  <si>
    <r>
      <rPr>
        <b val="true"/>
        <sz val="11"/>
        <color rgb="FFFFFFFF"/>
        <rFont val="FreeSans"/>
        <family val="2"/>
      </rPr>
      <t xml:space="preserve">பயன்படுத்திய சிறுதானியம்</t>
    </r>
    <r>
      <rPr>
        <b val="true"/>
        <sz val="11"/>
        <color rgb="FFFFFFFF"/>
        <rFont val="Nirmala U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முழு தானியம்</t>
    </r>
  </si>
  <si>
    <r>
      <rPr>
        <b val="true"/>
        <sz val="11"/>
        <color rgb="FFFFFFFF"/>
        <rFont val="FreeSans"/>
        <family val="2"/>
      </rPr>
      <t xml:space="preserve">பயன்படுத்திய கீரை</t>
    </r>
    <r>
      <rPr>
        <b val="true"/>
        <sz val="11"/>
        <color rgb="FFFFFFFF"/>
        <rFont val="Nirmala U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காய்கறிகள்</t>
    </r>
  </si>
  <si>
    <r>
      <rPr>
        <sz val="11"/>
        <color rgb="FF000000"/>
        <rFont val="FreeSans"/>
        <family val="2"/>
      </rPr>
      <t xml:space="preserve">கேழ்வரகு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சிவப்பு அரிசி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கோதுமை</t>
    </r>
  </si>
  <si>
    <r>
      <rPr>
        <sz val="11"/>
        <color rgb="FF000000"/>
        <rFont val="FreeSans"/>
        <family val="2"/>
      </rPr>
      <t xml:space="preserve">முளைக்கீரை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பீன்ஸ்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வெள்ளரி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பட்டாணி</t>
    </r>
  </si>
  <si>
    <t xml:space="preserve">தினை</t>
  </si>
  <si>
    <r>
      <rPr>
        <sz val="11"/>
        <color rgb="FF000000"/>
        <rFont val="FreeSans"/>
        <family val="2"/>
      </rPr>
      <t xml:space="preserve">முருங்கைக்கீரை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அவியல் காய்கறிகள்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வெள்ளரி</t>
    </r>
  </si>
  <si>
    <r>
      <rPr>
        <sz val="11"/>
        <color rgb="FF000000"/>
        <rFont val="FreeSans"/>
        <family val="2"/>
      </rPr>
      <t xml:space="preserve">கம்பு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கோதுமை</t>
    </r>
  </si>
  <si>
    <r>
      <rPr>
        <sz val="11"/>
        <color rgb="FF000000"/>
        <rFont val="FreeSans"/>
        <family val="2"/>
      </rPr>
      <t xml:space="preserve">பாலக்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கத்திரிக்காய்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கேரட்</t>
    </r>
  </si>
  <si>
    <r>
      <rPr>
        <sz val="11"/>
        <color rgb="FF000000"/>
        <rFont val="FreeSans"/>
        <family val="2"/>
      </rPr>
      <t xml:space="preserve">சாமை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கேழ்வரகு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சிவப்பு அரிசி</t>
    </r>
  </si>
  <si>
    <r>
      <rPr>
        <sz val="11"/>
        <color rgb="FF000000"/>
        <rFont val="FreeSans"/>
        <family val="2"/>
      </rPr>
      <t xml:space="preserve">முருங்கைக்கீரை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கோவைக்காய்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தக்காளி</t>
    </r>
  </si>
  <si>
    <r>
      <rPr>
        <sz val="11"/>
        <color rgb="FF000000"/>
        <rFont val="FreeSans"/>
        <family val="2"/>
      </rPr>
      <t xml:space="preserve">வரகு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கோதுமை</t>
    </r>
  </si>
  <si>
    <r>
      <rPr>
        <sz val="11"/>
        <color rgb="FF000000"/>
        <rFont val="FreeSans"/>
        <family val="2"/>
      </rPr>
      <t xml:space="preserve">பீட்ரூட்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கேரட்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வெள்ளரி</t>
    </r>
  </si>
  <si>
    <r>
      <rPr>
        <sz val="11"/>
        <color rgb="FF000000"/>
        <rFont val="FreeSans"/>
        <family val="2"/>
      </rPr>
      <t xml:space="preserve">தினை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சிவப்பு அரிசி</t>
    </r>
  </si>
  <si>
    <r>
      <rPr>
        <sz val="11"/>
        <color rgb="FF000000"/>
        <rFont val="FreeSans"/>
        <family val="2"/>
      </rPr>
      <t xml:space="preserve">முருங்கைக்காய்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அவியல் காய்கறிகள்</t>
    </r>
  </si>
  <si>
    <t xml:space="preserve">சிவப்பு அரிசி</t>
  </si>
  <si>
    <r>
      <rPr>
        <sz val="11"/>
        <color rgb="FF000000"/>
        <rFont val="FreeSans"/>
        <family val="2"/>
      </rPr>
      <t xml:space="preserve">பசலைக்கீரை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பீன்ஸ்</t>
    </r>
    <r>
      <rPr>
        <sz val="11"/>
        <color rgb="FF000000"/>
        <rFont val="Nirmala UI"/>
        <family val="0"/>
        <charset val="1"/>
      </rPr>
      <t xml:space="preserve">, </t>
    </r>
    <r>
      <rPr>
        <sz val="11"/>
        <color rgb="FF000000"/>
        <rFont val="FreeSans"/>
        <family val="2"/>
      </rPr>
      <t xml:space="preserve">வெள்ளரி</t>
    </r>
  </si>
  <si>
    <t xml:space="preserve">சராசரி</t>
  </si>
  <si>
    <r>
      <rPr>
        <i val="true"/>
        <sz val="9"/>
        <rFont val="FreeSans"/>
        <family val="2"/>
      </rPr>
      <t xml:space="preserve">குறிப்பு</t>
    </r>
    <r>
      <rPr>
        <i val="true"/>
        <sz val="9"/>
        <rFont val="Nirmala UI"/>
        <family val="0"/>
        <charset val="1"/>
      </rPr>
      <t xml:space="preserve">: </t>
    </r>
    <r>
      <rPr>
        <i val="true"/>
        <sz val="9"/>
        <rFont val="FreeSans"/>
        <family val="2"/>
      </rPr>
      <t xml:space="preserve">புரதம் சராசரியாக </t>
    </r>
    <r>
      <rPr>
        <i val="true"/>
        <sz val="9"/>
        <rFont val="Nirmala UI"/>
        <family val="0"/>
        <charset val="1"/>
      </rPr>
      <t xml:space="preserve">~60 </t>
    </r>
    <r>
      <rPr>
        <i val="true"/>
        <sz val="9"/>
        <rFont val="FreeSans"/>
        <family val="2"/>
      </rPr>
      <t xml:space="preserve">கிராம்</t>
    </r>
    <r>
      <rPr>
        <i val="true"/>
        <sz val="9"/>
        <rFont val="Nirmala UI"/>
        <family val="0"/>
        <charset val="1"/>
      </rPr>
      <t xml:space="preserve">, 65 </t>
    </r>
    <r>
      <rPr>
        <i val="true"/>
        <sz val="9"/>
        <rFont val="FreeSans"/>
        <family val="2"/>
      </rPr>
      <t xml:space="preserve">கிராம் இலக்கை விட சற்றுக் குறைவு</t>
    </r>
    <r>
      <rPr>
        <i val="true"/>
        <sz val="9"/>
        <rFont val="Nirmala UI"/>
        <family val="0"/>
        <charset val="1"/>
      </rPr>
      <t xml:space="preserve">. </t>
    </r>
    <r>
      <rPr>
        <i val="true"/>
        <sz val="9"/>
        <rFont val="FreeSans"/>
        <family val="2"/>
      </rPr>
      <t xml:space="preserve">தினமும் கூடுதலாக </t>
    </r>
    <r>
      <rPr>
        <i val="true"/>
        <sz val="9"/>
        <rFont val="Nirmala UI"/>
        <family val="0"/>
        <charset val="1"/>
      </rPr>
      <t xml:space="preserve">1 </t>
    </r>
    <r>
      <rPr>
        <i val="true"/>
        <sz val="9"/>
        <rFont val="FreeSans"/>
        <family val="2"/>
      </rPr>
      <t xml:space="preserve">கிண்ணம் தயிர் அல்லது </t>
    </r>
    <r>
      <rPr>
        <i val="true"/>
        <sz val="9"/>
        <rFont val="Nirmala UI"/>
        <family val="0"/>
        <charset val="1"/>
      </rPr>
      <t xml:space="preserve">1 </t>
    </r>
    <r>
      <rPr>
        <i val="true"/>
        <sz val="9"/>
        <rFont val="FreeSans"/>
        <family val="2"/>
      </rPr>
      <t xml:space="preserve">கிளாஸ் மோர் </t>
    </r>
    <r>
      <rPr>
        <i val="true"/>
        <sz val="9"/>
        <rFont val="Nirmala UI"/>
        <family val="0"/>
        <charset val="1"/>
      </rPr>
      <t xml:space="preserve">(~50 kcal) </t>
    </r>
    <r>
      <rPr>
        <i val="true"/>
        <sz val="9"/>
        <rFont val="FreeSans"/>
        <family val="2"/>
      </rPr>
      <t xml:space="preserve">சேர்த்தால் இலக்கை எட்டலாம்</t>
    </r>
    <r>
      <rPr>
        <i val="true"/>
        <sz val="9"/>
        <rFont val="Nirmala UI"/>
        <family val="0"/>
        <charset val="1"/>
      </rPr>
      <t xml:space="preserve">.</t>
    </r>
  </si>
  <si>
    <r>
      <rPr>
        <b val="true"/>
        <sz val="14"/>
        <color rgb="FF1F5C4A"/>
        <rFont val="FreeSans"/>
        <family val="2"/>
      </rPr>
      <t xml:space="preserve">இந்த வாரத்துக்கான மளிகைப் பட்டியல் </t>
    </r>
    <r>
      <rPr>
        <b val="true"/>
        <sz val="14"/>
        <color rgb="FF1F5C4A"/>
        <rFont val="Nirmala UI"/>
        <family val="0"/>
        <charset val="1"/>
      </rPr>
      <t xml:space="preserve">(1 </t>
    </r>
    <r>
      <rPr>
        <b val="true"/>
        <sz val="14"/>
        <color rgb="FF1F5C4A"/>
        <rFont val="FreeSans"/>
        <family val="2"/>
      </rPr>
      <t xml:space="preserve">நபர்</t>
    </r>
    <r>
      <rPr>
        <b val="true"/>
        <sz val="14"/>
        <color rgb="FF1F5C4A"/>
        <rFont val="Nirmala UI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</si>
  <si>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வாங்கியதும் </t>
    </r>
    <r>
      <rPr>
        <i val="true"/>
        <sz val="9"/>
        <color rgb="FF595959"/>
        <rFont val="Nirmala UI"/>
        <family val="0"/>
        <charset val="1"/>
      </rPr>
      <t xml:space="preserve">"</t>
    </r>
    <r>
      <rPr>
        <i val="true"/>
        <sz val="9"/>
        <color rgb="FF595959"/>
        <rFont val="FreeSans"/>
        <family val="2"/>
      </rPr>
      <t xml:space="preserve">வாங்கியது</t>
    </r>
    <r>
      <rPr>
        <i val="true"/>
        <sz val="9"/>
        <color rgb="FF595959"/>
        <rFont val="Nirmala UI"/>
        <family val="0"/>
        <charset val="1"/>
      </rPr>
      <t xml:space="preserve">?" </t>
    </r>
    <r>
      <rPr>
        <i val="true"/>
        <sz val="9"/>
        <color rgb="FF595959"/>
        <rFont val="FreeSans"/>
        <family val="2"/>
      </rPr>
      <t xml:space="preserve">கட்டத்தில் ✓ போடுங்கள்</t>
    </r>
    <r>
      <rPr>
        <i val="true"/>
        <sz val="9"/>
        <color rgb="FF595959"/>
        <rFont val="Nirmala UI"/>
        <family val="0"/>
        <charset val="1"/>
      </rPr>
      <t xml:space="preserve">.</t>
    </r>
  </si>
  <si>
    <t xml:space="preserve">வகை</t>
  </si>
  <si>
    <t xml:space="preserve">பொருள்</t>
  </si>
  <si>
    <t xml:space="preserve">தோராய அளவு</t>
  </si>
  <si>
    <r>
      <rPr>
        <b val="true"/>
        <sz val="11"/>
        <color rgb="FFFFFFFF"/>
        <rFont val="FreeSans"/>
        <family val="2"/>
      </rPr>
      <t xml:space="preserve">வாங்கியது</t>
    </r>
    <r>
      <rPr>
        <b val="true"/>
        <sz val="11"/>
        <color rgb="FFFFFFFF"/>
        <rFont val="Nirmala UI"/>
        <family val="0"/>
        <charset val="1"/>
      </rPr>
      <t xml:space="preserve">?</t>
    </r>
  </si>
  <si>
    <r>
      <rPr>
        <b val="true"/>
        <sz val="11"/>
        <rFont val="FreeSans"/>
        <family val="2"/>
      </rPr>
      <t xml:space="preserve">தானியங்கள் </t>
    </r>
    <r>
      <rPr>
        <b val="true"/>
        <sz val="11"/>
        <rFont val="Nirmala UI"/>
        <family val="0"/>
        <charset val="1"/>
      </rPr>
      <t xml:space="preserve">&amp; </t>
    </r>
    <r>
      <rPr>
        <b val="true"/>
        <sz val="11"/>
        <rFont val="FreeSans"/>
        <family val="2"/>
      </rPr>
      <t xml:space="preserve">சிறுதானியங்கள்</t>
    </r>
  </si>
  <si>
    <t xml:space="preserve">கேழ்வரகு மாவு</t>
  </si>
  <si>
    <r>
      <rPr>
        <sz val="11"/>
        <rFont val="Nirmala UI"/>
        <family val="0"/>
        <charset val="1"/>
      </rPr>
      <t xml:space="preserve">250 </t>
    </r>
    <r>
      <rPr>
        <sz val="11"/>
        <rFont val="FreeSans"/>
        <family val="2"/>
      </rPr>
      <t xml:space="preserve">கி</t>
    </r>
  </si>
  <si>
    <r>
      <rPr>
        <sz val="11"/>
        <rFont val="Nirmala UI"/>
        <family val="0"/>
        <charset val="1"/>
      </rPr>
      <t xml:space="preserve">400 </t>
    </r>
    <r>
      <rPr>
        <sz val="11"/>
        <rFont val="FreeSans"/>
        <family val="2"/>
      </rPr>
      <t xml:space="preserve">கி</t>
    </r>
  </si>
  <si>
    <t xml:space="preserve">கம்பு</t>
  </si>
  <si>
    <r>
      <rPr>
        <sz val="11"/>
        <rFont val="Nirmala UI"/>
        <family val="0"/>
        <charset val="1"/>
      </rPr>
      <t xml:space="preserve">150 </t>
    </r>
    <r>
      <rPr>
        <sz val="11"/>
        <rFont val="FreeSans"/>
        <family val="2"/>
      </rPr>
      <t xml:space="preserve">கி</t>
    </r>
  </si>
  <si>
    <t xml:space="preserve">சாமை</t>
  </si>
  <si>
    <r>
      <rPr>
        <sz val="11"/>
        <rFont val="Nirmala UI"/>
        <family val="0"/>
        <charset val="1"/>
      </rPr>
      <t xml:space="preserve">200 </t>
    </r>
    <r>
      <rPr>
        <sz val="11"/>
        <rFont val="FreeSans"/>
        <family val="2"/>
      </rPr>
      <t xml:space="preserve">கி</t>
    </r>
  </si>
  <si>
    <t xml:space="preserve">வரகு</t>
  </si>
  <si>
    <r>
      <rPr>
        <sz val="11"/>
        <rFont val="Nirmala UI"/>
        <family val="0"/>
        <charset val="1"/>
      </rPr>
      <t xml:space="preserve">500 </t>
    </r>
    <r>
      <rPr>
        <sz val="11"/>
        <rFont val="FreeSans"/>
        <family val="2"/>
      </rPr>
      <t xml:space="preserve">கி</t>
    </r>
  </si>
  <si>
    <r>
      <rPr>
        <sz val="11"/>
        <rFont val="FreeSans"/>
        <family val="2"/>
      </rPr>
      <t xml:space="preserve">இட்லி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தோசை மாவு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அல்லது இட்லி அரிசி </t>
    </r>
    <r>
      <rPr>
        <sz val="11"/>
        <rFont val="Nirmala UI"/>
        <family val="0"/>
        <charset val="1"/>
      </rPr>
      <t xml:space="preserve">400 </t>
    </r>
    <r>
      <rPr>
        <sz val="11"/>
        <rFont val="FreeSans"/>
        <family val="2"/>
      </rPr>
      <t xml:space="preserve">கி </t>
    </r>
    <r>
      <rPr>
        <sz val="11"/>
        <rFont val="Nirmala UI"/>
        <family val="0"/>
        <charset val="1"/>
      </rPr>
      <t xml:space="preserve">+ </t>
    </r>
    <r>
      <rPr>
        <sz val="11"/>
        <rFont val="FreeSans"/>
        <family val="2"/>
      </rPr>
      <t xml:space="preserve">உளுந்து </t>
    </r>
    <r>
      <rPr>
        <sz val="11"/>
        <rFont val="Nirmala UI"/>
        <family val="0"/>
        <charset val="1"/>
      </rPr>
      <t xml:space="preserve">100 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</si>
  <si>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</si>
  <si>
    <t xml:space="preserve">கோதுமை மாவு</t>
  </si>
  <si>
    <r>
      <rPr>
        <sz val="11"/>
        <rFont val="FreeSans"/>
        <family val="2"/>
      </rPr>
      <t xml:space="preserve">புழுங்கல் அரிசி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அடைக்கு</t>
    </r>
    <r>
      <rPr>
        <sz val="11"/>
        <rFont val="Nirmala UI"/>
        <family val="0"/>
        <charset val="1"/>
      </rPr>
      <t xml:space="preserve">)</t>
    </r>
  </si>
  <si>
    <r>
      <rPr>
        <sz val="11"/>
        <rFont val="Nirmala UI"/>
        <family val="0"/>
        <charset val="1"/>
      </rPr>
      <t xml:space="preserve">100 </t>
    </r>
    <r>
      <rPr>
        <sz val="11"/>
        <rFont val="FreeSans"/>
        <family val="2"/>
      </rPr>
      <t xml:space="preserve">கி</t>
    </r>
  </si>
  <si>
    <t xml:space="preserve">பருப்பு வகைகள்</t>
  </si>
  <si>
    <t xml:space="preserve">துவரம் பருப்பு</t>
  </si>
  <si>
    <r>
      <rPr>
        <sz val="11"/>
        <rFont val="Nirmala UI"/>
        <family val="0"/>
        <charset val="1"/>
      </rPr>
      <t xml:space="preserve">300 </t>
    </r>
    <r>
      <rPr>
        <sz val="11"/>
        <rFont val="FreeSans"/>
        <family val="2"/>
      </rPr>
      <t xml:space="preserve">கி</t>
    </r>
  </si>
  <si>
    <t xml:space="preserve">பாசிப்பருப்பு</t>
  </si>
  <si>
    <r>
      <rPr>
        <sz val="11"/>
        <rFont val="FreeSans"/>
        <family val="2"/>
      </rPr>
      <t xml:space="preserve">பச்சைப் பயறு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முழு</t>
    </r>
    <r>
      <rPr>
        <sz val="11"/>
        <rFont val="Nirmala UI"/>
        <family val="0"/>
        <charset val="1"/>
      </rPr>
      <t xml:space="preserve">)</t>
    </r>
  </si>
  <si>
    <t xml:space="preserve">கொண்டைக்கடலை</t>
  </si>
  <si>
    <t xml:space="preserve">காராமணி</t>
  </si>
  <si>
    <t xml:space="preserve">கடலைப் பருப்பு</t>
  </si>
  <si>
    <t xml:space="preserve">உளுந்து</t>
  </si>
  <si>
    <t xml:space="preserve">பொட்டுக்கடலை</t>
  </si>
  <si>
    <r>
      <rPr>
        <b val="true"/>
        <sz val="11"/>
        <rFont val="FreeSans"/>
        <family val="2"/>
      </rPr>
      <t xml:space="preserve">காய்கறிகள் </t>
    </r>
    <r>
      <rPr>
        <b val="true"/>
        <sz val="11"/>
        <rFont val="Nirmala UI"/>
        <family val="0"/>
        <charset val="1"/>
      </rPr>
      <t xml:space="preserve">&amp; </t>
    </r>
    <r>
      <rPr>
        <b val="true"/>
        <sz val="11"/>
        <rFont val="FreeSans"/>
        <family val="2"/>
      </rPr>
      <t xml:space="preserve">கீரைகள்</t>
    </r>
  </si>
  <si>
    <t xml:space="preserve">தக்காளி</t>
  </si>
  <si>
    <r>
      <rPr>
        <sz val="11"/>
        <rFont val="Nirmala UI"/>
        <family val="0"/>
        <charset val="1"/>
      </rPr>
      <t xml:space="preserve">1.5 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</si>
  <si>
    <t xml:space="preserve">வெங்காயம்</t>
  </si>
  <si>
    <t xml:space="preserve">கேரட்</t>
  </si>
  <si>
    <t xml:space="preserve">பீன்ஸ்</t>
  </si>
  <si>
    <t xml:space="preserve">கத்திரிக்காய்</t>
  </si>
  <si>
    <t xml:space="preserve">கோவைக்காய்</t>
  </si>
  <si>
    <t xml:space="preserve">பீட்ரூட்</t>
  </si>
  <si>
    <t xml:space="preserve">வெள்ளரிக்காய்</t>
  </si>
  <si>
    <t xml:space="preserve">4</t>
  </si>
  <si>
    <t xml:space="preserve">முருங்கைக்காய்</t>
  </si>
  <si>
    <t xml:space="preserve">3</t>
  </si>
  <si>
    <t xml:space="preserve">குடைமிளகாய்</t>
  </si>
  <si>
    <t xml:space="preserve">1</t>
  </si>
  <si>
    <t xml:space="preserve">பச்சைப் பட்டாணி</t>
  </si>
  <si>
    <r>
      <rPr>
        <sz val="11"/>
        <rFont val="FreeSans"/>
        <family val="2"/>
      </rPr>
      <t xml:space="preserve">அவியல் காய்கறிகள்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சௌசௌ </t>
    </r>
    <r>
      <rPr>
        <sz val="11"/>
        <rFont val="Nirmala UI"/>
        <family val="0"/>
        <charset val="1"/>
      </rPr>
      <t xml:space="preserve">/ </t>
    </r>
    <r>
      <rPr>
        <sz val="11"/>
        <rFont val="FreeSans"/>
        <family val="2"/>
      </rPr>
      <t xml:space="preserve">பூசணிக்காய் </t>
    </r>
    <r>
      <rPr>
        <sz val="11"/>
        <rFont val="Nirmala UI"/>
        <family val="0"/>
        <charset val="1"/>
      </rPr>
      <t xml:space="preserve">/ </t>
    </r>
    <r>
      <rPr>
        <sz val="11"/>
        <rFont val="FreeSans"/>
        <family val="2"/>
      </rPr>
      <t xml:space="preserve">கேரட்</t>
    </r>
    <r>
      <rPr>
        <sz val="11"/>
        <rFont val="Nirmala UI"/>
        <family val="0"/>
        <charset val="1"/>
      </rPr>
      <t xml:space="preserve">)</t>
    </r>
  </si>
  <si>
    <t xml:space="preserve">முளைக்கீரை</t>
  </si>
  <si>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கட்டு</t>
    </r>
  </si>
  <si>
    <t xml:space="preserve">முருங்கைக்கீரை</t>
  </si>
  <si>
    <r>
      <rPr>
        <sz val="11"/>
        <rFont val="Nirmala UI"/>
        <family val="0"/>
        <charset val="1"/>
      </rPr>
      <t xml:space="preserve">2 </t>
    </r>
    <r>
      <rPr>
        <sz val="11"/>
        <rFont val="FreeSans"/>
        <family val="2"/>
      </rPr>
      <t xml:space="preserve">கட்டு</t>
    </r>
  </si>
  <si>
    <t xml:space="preserve">பாலக்</t>
  </si>
  <si>
    <t xml:space="preserve">பசலைக்கீரை</t>
  </si>
  <si>
    <t xml:space="preserve">எலுமிச்சை</t>
  </si>
  <si>
    <r>
      <rPr>
        <sz val="11"/>
        <rFont val="FreeSans"/>
        <family val="2"/>
      </rPr>
      <t xml:space="preserve">இஞ்சி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பூண்டு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பச்சை மிளகாய்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கறிவேப்பிலை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கொத்தமல்லி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புதினா</t>
    </r>
  </si>
  <si>
    <t xml:space="preserve">தேவையான அளவு</t>
  </si>
  <si>
    <t xml:space="preserve">பழங்கள்</t>
  </si>
  <si>
    <t xml:space="preserve">கொய்யா</t>
  </si>
  <si>
    <t xml:space="preserve">ஆரஞ்சு</t>
  </si>
  <si>
    <t xml:space="preserve">2</t>
  </si>
  <si>
    <t xml:space="preserve">பப்பாளி</t>
  </si>
  <si>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சிறியது</t>
    </r>
  </si>
  <si>
    <t xml:space="preserve">ஆப்பிள்</t>
  </si>
  <si>
    <t xml:space="preserve">பால் பொருட்கள்</t>
  </si>
  <si>
    <t xml:space="preserve">டோன்ட் பால்</t>
  </si>
  <si>
    <r>
      <rPr>
        <sz val="11"/>
        <rFont val="Nirmala UI"/>
        <family val="0"/>
        <charset val="1"/>
      </rPr>
      <t xml:space="preserve">1.5 </t>
    </r>
    <r>
      <rPr>
        <sz val="11"/>
        <rFont val="FreeSans"/>
        <family val="2"/>
      </rPr>
      <t xml:space="preserve">லி</t>
    </r>
  </si>
  <si>
    <t xml:space="preserve">தயிர்</t>
  </si>
  <si>
    <r>
      <rPr>
        <sz val="11"/>
        <rFont val="Nirmala UI"/>
        <family val="0"/>
        <charset val="1"/>
      </rPr>
      <t xml:space="preserve">~1.2 </t>
    </r>
    <r>
      <rPr>
        <sz val="11"/>
        <rFont val="FreeSans"/>
        <family val="2"/>
      </rPr>
      <t xml:space="preserve">கி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கி</t>
    </r>
  </si>
  <si>
    <t xml:space="preserve">பனீர்</t>
  </si>
  <si>
    <t xml:space="preserve">நெய்</t>
  </si>
  <si>
    <r>
      <rPr>
        <sz val="11"/>
        <rFont val="Nirmala UI"/>
        <family val="0"/>
        <charset val="1"/>
      </rPr>
      <t xml:space="preserve">50 </t>
    </r>
    <r>
      <rPr>
        <sz val="11"/>
        <rFont val="FreeSans"/>
        <family val="2"/>
      </rPr>
      <t xml:space="preserve">கி</t>
    </r>
  </si>
  <si>
    <r>
      <rPr>
        <b val="true"/>
        <sz val="11"/>
        <rFont val="FreeSans"/>
        <family val="2"/>
      </rPr>
      <t xml:space="preserve">கொட்டைகள் </t>
    </r>
    <r>
      <rPr>
        <b val="true"/>
        <sz val="11"/>
        <rFont val="Nirmala UI"/>
        <family val="0"/>
        <charset val="1"/>
      </rPr>
      <t xml:space="preserve">&amp; </t>
    </r>
    <r>
      <rPr>
        <b val="true"/>
        <sz val="11"/>
        <rFont val="FreeSans"/>
        <family val="2"/>
      </rPr>
      <t xml:space="preserve">விதைகள்</t>
    </r>
  </si>
  <si>
    <t xml:space="preserve">பச்சை வேர்க்கடலை</t>
  </si>
  <si>
    <t xml:space="preserve">தேங்காய்</t>
  </si>
  <si>
    <r>
      <rPr>
        <sz val="11"/>
        <rFont val="Nirmala UI"/>
        <family val="0"/>
        <charset val="1"/>
      </rPr>
      <t xml:space="preserve">½ </t>
    </r>
    <r>
      <rPr>
        <sz val="11"/>
        <rFont val="FreeSans"/>
        <family val="2"/>
      </rPr>
      <t xml:space="preserve">மூடி</t>
    </r>
  </si>
  <si>
    <t xml:space="preserve">கடுகு</t>
  </si>
  <si>
    <r>
      <rPr>
        <b val="true"/>
        <sz val="11"/>
        <rFont val="FreeSans"/>
        <family val="2"/>
      </rPr>
      <t xml:space="preserve">மசாலா </t>
    </r>
    <r>
      <rPr>
        <b val="true"/>
        <sz val="11"/>
        <rFont val="Nirmala UI"/>
        <family val="0"/>
        <charset val="1"/>
      </rPr>
      <t xml:space="preserve">&amp; </t>
    </r>
    <r>
      <rPr>
        <b val="true"/>
        <sz val="11"/>
        <rFont val="FreeSans"/>
        <family val="2"/>
      </rPr>
      <t xml:space="preserve">இதர பொருட்கள்</t>
    </r>
  </si>
  <si>
    <r>
      <rPr>
        <sz val="11"/>
        <rFont val="FreeSans"/>
        <family val="2"/>
      </rPr>
      <t xml:space="preserve">சாம்பார் பொடி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ரசப் பொடி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செட்டிநாடு மசாலா பொடி</t>
    </r>
  </si>
  <si>
    <r>
      <rPr>
        <sz val="11"/>
        <rFont val="FreeSans"/>
        <family val="2"/>
      </rPr>
      <t xml:space="preserve">தலா </t>
    </r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சிறிய பாக்கெட்</t>
    </r>
  </si>
  <si>
    <r>
      <rPr>
        <sz val="11"/>
        <rFont val="FreeSans"/>
        <family val="2"/>
      </rPr>
      <t xml:space="preserve">மஞ்சள்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சீரகம்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மிளகு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பெருங்காயம்</t>
    </r>
  </si>
  <si>
    <t xml:space="preserve">புளி</t>
  </si>
  <si>
    <r>
      <rPr>
        <sz val="11"/>
        <rFont val="FreeSans"/>
        <family val="2"/>
      </rPr>
      <t xml:space="preserve">செக்கு நல்லெண்ணெய் </t>
    </r>
    <r>
      <rPr>
        <sz val="11"/>
        <rFont val="Nirmala UI"/>
        <family val="0"/>
        <charset val="1"/>
      </rPr>
      <t xml:space="preserve">/ </t>
    </r>
    <r>
      <rPr>
        <sz val="11"/>
        <rFont val="FreeSans"/>
        <family val="2"/>
      </rPr>
      <t xml:space="preserve">கடலை எண்ணெய்</t>
    </r>
  </si>
  <si>
    <r>
      <rPr>
        <sz val="11"/>
        <rFont val="Nirmala UI"/>
        <family val="0"/>
        <charset val="1"/>
      </rPr>
      <t xml:space="preserve">~150 </t>
    </r>
    <r>
      <rPr>
        <sz val="11"/>
        <rFont val="FreeSans"/>
        <family val="2"/>
      </rPr>
      <t xml:space="preserve">மி</t>
    </r>
    <r>
      <rPr>
        <sz val="11"/>
        <rFont val="Nirmala UI"/>
        <family val="0"/>
        <charset val="1"/>
      </rPr>
      <t xml:space="preserve">.</t>
    </r>
    <r>
      <rPr>
        <sz val="11"/>
        <rFont val="FreeSans"/>
        <family val="2"/>
      </rPr>
      <t xml:space="preserve">லி</t>
    </r>
  </si>
  <si>
    <t xml:space="preserve">ஃபில்டர் காபி பொடி</t>
  </si>
  <si>
    <t xml:space="preserve">உப்பு</t>
  </si>
  <si>
    <r>
      <rPr>
        <b val="true"/>
        <sz val="14"/>
        <color rgb="FF1F5C4A"/>
        <rFont val="FreeSans"/>
        <family val="2"/>
      </rPr>
      <t xml:space="preserve">மாற்றுகள்</t>
    </r>
    <r>
      <rPr>
        <b val="true"/>
        <sz val="14"/>
        <color rgb="FF1F5C4A"/>
        <rFont val="Nirmala UI"/>
        <family val="0"/>
        <charset val="1"/>
      </rPr>
      <t xml:space="preserve">, </t>
    </r>
    <r>
      <rPr>
        <b val="true"/>
        <sz val="14"/>
        <color rgb="FF1F5C4A"/>
        <rFont val="FreeSans"/>
        <family val="2"/>
      </rPr>
      <t xml:space="preserve">முன்கூட்டிய தயாரிப்பு </t>
    </r>
    <r>
      <rPr>
        <b val="true"/>
        <sz val="14"/>
        <color rgb="FF1F5C4A"/>
        <rFont val="Nirmala UI"/>
        <family val="0"/>
        <charset val="1"/>
      </rPr>
      <t xml:space="preserve">&amp; </t>
    </r>
    <r>
      <rPr>
        <b val="true"/>
        <sz val="14"/>
        <color rgb="FF1F5C4A"/>
        <rFont val="FreeSans"/>
        <family val="2"/>
      </rPr>
      <t xml:space="preserve">தினசரி பழக்கங்கள்</t>
    </r>
  </si>
  <si>
    <t xml:space="preserve">எளிய மாற்றுகள்</t>
  </si>
  <si>
    <r>
      <rPr>
        <sz val="11"/>
        <rFont val="FreeSans"/>
        <family val="2"/>
      </rPr>
      <t xml:space="preserve">தினை ↔ சாமை ↔ வரகு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ஒரே மாதிரி சமைக்கலாம்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கிடைப்பதைப் பயன்படுத்துங்கள்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</si>
  <si>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பனீர் ↔ கெட்டித் தயிர் </t>
    </r>
    <r>
      <rPr>
        <sz val="11"/>
        <rFont val="Nirmala UI"/>
        <family val="0"/>
        <charset val="1"/>
      </rPr>
      <t xml:space="preserve">(hung curd): </t>
    </r>
    <r>
      <rPr>
        <sz val="11"/>
        <rFont val="FreeSans"/>
        <family val="2"/>
      </rPr>
      <t xml:space="preserve">கிரேவியில் கடைசியாகச் சேருங்கள்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கொதிக்க விடாதீர்கள்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</si>
  <si>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முருங்கைக்கீரை ↔ முளைக்கீரை ↔ சிறுகீரை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அடை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பொரியல்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கூட்டு எல்லாவற்றுக்கும் மாற்றலாம்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</si>
  <si>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கொண்டைக்கடலை ↔ காராமணி ↔ மொச்சை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சுண்டலுக்கு அதே அளவு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</si>
  <si>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சிவப்பு அரிசி ↔ கைக்குத்தல் அரிசி ↔ </t>
    </r>
    <r>
      <rPr>
        <sz val="11"/>
        <rFont val="Nirmala UI"/>
        <family val="0"/>
        <charset val="1"/>
      </rPr>
      <t xml:space="preserve">½ </t>
    </r>
    <r>
      <rPr>
        <sz val="11"/>
        <rFont val="FreeSans"/>
        <family val="2"/>
      </rPr>
      <t xml:space="preserve">பொன்னி </t>
    </r>
    <r>
      <rPr>
        <sz val="11"/>
        <rFont val="Nirmala UI"/>
        <family val="0"/>
        <charset val="1"/>
      </rPr>
      <t xml:space="preserve">+ ½ </t>
    </r>
    <r>
      <rPr>
        <sz val="11"/>
        <rFont val="FreeSans"/>
        <family val="2"/>
      </rPr>
      <t xml:space="preserve">தினை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அளவு </t>
    </r>
    <r>
      <rPr>
        <sz val="11"/>
        <rFont val="Nirmala UI"/>
        <family val="0"/>
        <charset val="1"/>
      </rPr>
      <t xml:space="preserve">½ </t>
    </r>
    <r>
      <rPr>
        <sz val="11"/>
        <rFont val="FreeSans"/>
        <family val="2"/>
      </rPr>
      <t xml:space="preserve">கப் மட்டுமே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</si>
  <si>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பப்பாளி ↔ கொய்யா ↔ ஆரஞ்சு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பருவத்தில் மலிவாகக் கிடைப்பதை வாங்குங்கள்</t>
    </r>
    <r>
      <rPr>
        <sz val="11"/>
        <rFont val="Nirmala UI"/>
        <family val="0"/>
        <charset val="1"/>
      </rPr>
      <t xml:space="preserve">.</t>
    </r>
  </si>
  <si>
    <t xml:space="preserve">முன்கூட்டிய தயாரிப்பு குறிப்புகள்</t>
  </si>
  <si>
    <r>
      <rPr>
        <sz val="11"/>
        <rFont val="FreeSans"/>
        <family val="2"/>
      </rPr>
      <t xml:space="preserve">ஞாயிறு மற்றும் புதன் அன்று இட்லி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தோசை மாவு அரைத்து வைத்துக்கொள்ளுங்கள்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கேழ்வரகு தோசைக்கு அதில் கேழ்வரகு மாவு கலக்கலாம்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</si>
  <si>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தூங்கப் போகும் முன்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அடுத்த நாள் சுண்டலுக்கு கொண்டைக்கடலை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காராமணி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பச்சைப் பயறு ஊற வையுங்கள்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முளைப்பயறுக்கு </t>
    </r>
    <r>
      <rPr>
        <sz val="11"/>
        <rFont val="Nirmala UI"/>
        <family val="0"/>
        <charset val="1"/>
      </rPr>
      <t xml:space="preserve">2 </t>
    </r>
    <r>
      <rPr>
        <sz val="11"/>
        <rFont val="FreeSans"/>
        <family val="2"/>
      </rPr>
      <t xml:space="preserve">நாள் முன்பே ஊற வையுங்கள்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</si>
  <si>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சாம்பார்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பருப்பு இரண்டு வேளைக்குச் சேர்த்துச் செய்யுங்கள்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காலை சாம்பார் மதியத்துக்கும்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குழம்பு இரவுக்கும்</t>
    </r>
    <r>
      <rPr>
        <sz val="11"/>
        <rFont val="Nirmala UI"/>
        <family val="0"/>
        <charset val="1"/>
      </rPr>
      <t xml:space="preserve">). </t>
    </r>
    <r>
      <rPr>
        <sz val="11"/>
        <rFont val="FreeSans"/>
        <family val="2"/>
      </rPr>
      <t xml:space="preserve">ஃப்ரிட்ஜில் </t>
    </r>
    <r>
      <rPr>
        <sz val="11"/>
        <rFont val="Nirmala UI"/>
        <family val="0"/>
        <charset val="1"/>
      </rPr>
      <t xml:space="preserve">2 </t>
    </r>
    <r>
      <rPr>
        <sz val="11"/>
        <rFont val="FreeSans"/>
        <family val="2"/>
      </rPr>
      <t xml:space="preserve">நாள் வரை வைக்கலாம்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</si>
  <si>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வார இறுதியிலேயே காய்கறிகளை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பீன்ஸ்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கேரட்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கோவைக்காய்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பீட்ரூட்</t>
    </r>
    <r>
      <rPr>
        <sz val="11"/>
        <rFont val="Nirmala UI"/>
        <family val="0"/>
        <charset val="1"/>
      </rPr>
      <t xml:space="preserve">) </t>
    </r>
    <r>
      <rPr>
        <sz val="11"/>
        <rFont val="FreeSans"/>
        <family val="2"/>
      </rPr>
      <t xml:space="preserve">நறுக்கி காற்றுப் புகாத டப்பாவில் வைத்தால் வார நாள் பொரியல் </t>
    </r>
    <r>
      <rPr>
        <sz val="11"/>
        <rFont val="Nirmala UI"/>
        <family val="0"/>
        <charset val="1"/>
      </rPr>
      <t xml:space="preserve">10 </t>
    </r>
    <r>
      <rPr>
        <sz val="11"/>
        <rFont val="FreeSans"/>
        <family val="2"/>
      </rPr>
      <t xml:space="preserve">நிமிடத்தில் முடியும்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</si>
  <si>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தினை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வரகு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சாமையை காலையில் </t>
    </r>
    <r>
      <rPr>
        <sz val="11"/>
        <rFont val="Nirmala UI"/>
        <family val="0"/>
        <charset val="1"/>
      </rPr>
      <t xml:space="preserve">20 </t>
    </r>
    <r>
      <rPr>
        <sz val="11"/>
        <rFont val="FreeSans"/>
        <family val="2"/>
      </rPr>
      <t xml:space="preserve">நிமிடம் ஊற வைத்தால் சீக்கிரம் வேகும்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டிஃபன் தயிர் சாதத்தில் தயிரைக் கடைசியாகச் சேர்த்தால் புளிக்காது</t>
    </r>
    <r>
      <rPr>
        <sz val="11"/>
        <rFont val="Nirmala UI"/>
        <family val="0"/>
        <charset val="1"/>
      </rPr>
      <t xml:space="preserve">.</t>
    </r>
  </si>
  <si>
    <t xml:space="preserve">தினசரி நலப் பழக்கங்கள்</t>
  </si>
  <si>
    <r>
      <rPr>
        <sz val="11"/>
        <rFont val="FreeSans"/>
        <family val="2"/>
      </rPr>
      <t xml:space="preserve">தண்ணீர்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நாளுக்கு </t>
    </r>
    <r>
      <rPr>
        <sz val="11"/>
        <rFont val="Nirmala UI"/>
        <family val="0"/>
        <charset val="1"/>
      </rPr>
      <t xml:space="preserve">2.5–3 </t>
    </r>
    <r>
      <rPr>
        <sz val="11"/>
        <rFont val="FreeSans"/>
        <family val="2"/>
      </rPr>
      <t xml:space="preserve">லிட்டர்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ஒவ்வொரு உணவுக்கு முன் </t>
    </r>
    <r>
      <rPr>
        <sz val="11"/>
        <rFont val="Nirmala UI"/>
        <family val="0"/>
        <charset val="1"/>
      </rPr>
      <t xml:space="preserve">1 </t>
    </r>
    <r>
      <rPr>
        <sz val="11"/>
        <rFont val="FreeSans"/>
        <family val="2"/>
      </rPr>
      <t xml:space="preserve">கிளாஸ்</t>
    </r>
    <r>
      <rPr>
        <sz val="11"/>
        <rFont val="Nirmala UI"/>
        <family val="0"/>
        <charset val="1"/>
      </rPr>
      <t xml:space="preserve">; </t>
    </r>
    <r>
      <rPr>
        <sz val="11"/>
        <rFont val="FreeSans"/>
        <family val="2"/>
      </rPr>
      <t xml:space="preserve">மோரும் கணக்கில் சேரும்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</si>
  <si>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தூக்கம்</t>
    </r>
    <r>
      <rPr>
        <sz val="11"/>
        <rFont val="Nirmala UI"/>
        <family val="0"/>
        <charset val="1"/>
      </rPr>
      <t xml:space="preserve">: 7–8 </t>
    </r>
    <r>
      <rPr>
        <sz val="11"/>
        <rFont val="FreeSans"/>
        <family val="2"/>
      </rPr>
      <t xml:space="preserve">மணி நேரம்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ஒரே நேரத்தில் தூங்கி எழுங்கள்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</si>
  <si>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நடை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சாப்பிட்ட பிறகு </t>
    </r>
    <r>
      <rPr>
        <sz val="11"/>
        <rFont val="Nirmala UI"/>
        <family val="0"/>
        <charset val="1"/>
      </rPr>
      <t xml:space="preserve">10–15 </t>
    </r>
    <r>
      <rPr>
        <sz val="11"/>
        <rFont val="FreeSans"/>
        <family val="2"/>
      </rPr>
      <t xml:space="preserve">நிமிடம் நடங்கள்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முதல் </t>
    </r>
    <r>
      <rPr>
        <sz val="11"/>
        <rFont val="Nirmala UI"/>
        <family val="0"/>
        <charset val="1"/>
      </rPr>
      <t xml:space="preserve">2 </t>
    </r>
    <r>
      <rPr>
        <sz val="11"/>
        <rFont val="FreeSans"/>
        <family val="2"/>
      </rPr>
      <t xml:space="preserve">வாரம் தினமும் </t>
    </r>
    <r>
      <rPr>
        <sz val="11"/>
        <rFont val="Nirmala UI"/>
        <family val="0"/>
        <charset val="1"/>
      </rPr>
      <t xml:space="preserve">4,000 </t>
    </r>
    <r>
      <rPr>
        <sz val="11"/>
        <rFont val="FreeSans"/>
        <family val="2"/>
      </rPr>
      <t xml:space="preserve">அடிகள்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பிறகு மெதுவாக </t>
    </r>
    <r>
      <rPr>
        <sz val="11"/>
        <rFont val="Nirmala UI"/>
        <family val="0"/>
        <charset val="1"/>
      </rPr>
      <t xml:space="preserve">7,000–8,000 </t>
    </r>
    <r>
      <rPr>
        <sz val="11"/>
        <rFont val="FreeSans"/>
        <family val="2"/>
      </rPr>
      <t xml:space="preserve">வரை உயர்த்துங்கள்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</si>
  <si>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கவனத்துடன் சாப்பிடுதல்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சிறிய தட்டு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கிண்ணம் பயன்படுத்துங்கள்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மொபைல்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டிவி இல்லாமல் மெதுவாகச் சாப்பிடுங்கள்</t>
    </r>
    <r>
      <rPr>
        <sz val="11"/>
        <rFont val="Nirmala UI"/>
        <family val="0"/>
        <charset val="1"/>
      </rPr>
      <t xml:space="preserve">. 80% </t>
    </r>
    <r>
      <rPr>
        <sz val="11"/>
        <rFont val="FreeSans"/>
        <family val="2"/>
      </rPr>
      <t xml:space="preserve">வயிறு நிறைந்தால் போதும்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</si>
  <si>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காபி</t>
    </r>
    <r>
      <rPr>
        <sz val="11"/>
        <rFont val="Nirmala UI"/>
        <family val="0"/>
        <charset val="1"/>
      </rPr>
      <t xml:space="preserve">/</t>
    </r>
    <r>
      <rPr>
        <sz val="11"/>
        <rFont val="FreeSans"/>
        <family val="2"/>
      </rPr>
      <t xml:space="preserve">டீ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நாளுக்கு அதிகபட்சம் </t>
    </r>
    <r>
      <rPr>
        <sz val="11"/>
        <rFont val="Nirmala UI"/>
        <family val="0"/>
        <charset val="1"/>
      </rPr>
      <t xml:space="preserve">2 </t>
    </r>
    <r>
      <rPr>
        <sz val="11"/>
        <rFont val="FreeSans"/>
        <family val="2"/>
      </rPr>
      <t xml:space="preserve">டம்ளர்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டோன்ட் பால்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சர்க்கரை இல்லாமல்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அல்லது </t>
    </r>
    <r>
      <rPr>
        <sz val="11"/>
        <rFont val="Nirmala UI"/>
        <family val="0"/>
        <charset val="1"/>
      </rPr>
      <t xml:space="preserve">½ </t>
    </r>
    <r>
      <rPr>
        <sz val="11"/>
        <rFont val="FreeSans"/>
        <family val="2"/>
      </rPr>
      <t xml:space="preserve">டீஸ்பூனுக்கு மேல் வேண்டாம்</t>
    </r>
    <r>
      <rPr>
        <sz val="11"/>
        <rFont val="Nirmala UI"/>
        <family val="0"/>
        <charset val="1"/>
      </rPr>
      <t xml:space="preserve">). </t>
    </r>
    <r>
      <rPr>
        <sz val="11"/>
        <rFont val="FreeSans"/>
        <family val="2"/>
      </rPr>
      <t xml:space="preserve">பிஸ்கட் வேண்டாம்</t>
    </r>
    <r>
      <rPr>
        <sz val="11"/>
        <rFont val="Nirmala UI"/>
        <family val="0"/>
        <charset val="1"/>
      </rPr>
      <t xml:space="preserve">.</t>
    </r>
  </si>
  <si>
    <r>
      <rPr>
        <sz val="11"/>
        <rFont val="FreeSans"/>
        <family val="2"/>
      </rPr>
      <t xml:space="preserve">வாராந்திர சரிபார்ப்பு</t>
    </r>
    <r>
      <rPr>
        <sz val="11"/>
        <rFont val="Nirmala UI"/>
        <family val="0"/>
        <charset val="1"/>
      </rPr>
      <t xml:space="preserve">: </t>
    </r>
    <r>
      <rPr>
        <sz val="11"/>
        <rFont val="FreeSans"/>
        <family val="2"/>
      </rPr>
      <t xml:space="preserve">வாரம் ஒருமுறை ஒரே நாள்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ஒரே நேரத்தில் எடை பாருங்கள்</t>
    </r>
    <r>
      <rPr>
        <sz val="11"/>
        <rFont val="Nirmala UI"/>
        <family val="0"/>
        <charset val="1"/>
      </rPr>
      <t xml:space="preserve">; </t>
    </r>
    <r>
      <rPr>
        <sz val="11"/>
        <rFont val="FreeSans"/>
        <family val="2"/>
      </rPr>
      <t xml:space="preserve">தினமும் பார்க்க வேண்டாம்</t>
    </r>
    <r>
      <rPr>
        <sz val="11"/>
        <rFont val="Nirmala UI"/>
        <family val="0"/>
        <charset val="1"/>
      </rPr>
      <t xml:space="preserve">.</t>
    </r>
  </si>
  <si>
    <t xml:space="preserve">முக்கியக் குறிப்பு</t>
  </si>
  <si>
    <r>
      <rPr>
        <sz val="11"/>
        <rFont val="FreeSans"/>
        <family val="2"/>
      </rPr>
      <t xml:space="preserve">இது பொதுவான வழிகாட்டுதல் மட்டுமே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மருத்துவ ஆலோசனை அல்ல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உங்கள் </t>
    </r>
    <r>
      <rPr>
        <sz val="11"/>
        <rFont val="Nirmala UI"/>
        <family val="0"/>
        <charset val="1"/>
      </rPr>
      <t xml:space="preserve">BMI </t>
    </r>
    <r>
      <rPr>
        <sz val="11"/>
        <rFont val="FreeSans"/>
        <family val="2"/>
      </rPr>
      <t xml:space="preserve">சுமார் </t>
    </r>
    <r>
      <rPr>
        <sz val="11"/>
        <rFont val="Nirmala UI"/>
        <family val="0"/>
        <charset val="1"/>
      </rPr>
      <t xml:space="preserve">39.5 </t>
    </r>
    <r>
      <rPr>
        <sz val="11"/>
        <rFont val="FreeSans"/>
        <family val="2"/>
      </rPr>
      <t xml:space="preserve">என்பதால்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தொடங்குவதற்கு முன் மருத்துவரிடம் அடிப்படைப் பரிசோதனை </t>
    </r>
    <r>
      <rPr>
        <sz val="11"/>
        <rFont val="Nirmala UI"/>
        <family val="0"/>
        <charset val="1"/>
      </rPr>
      <t xml:space="preserve">(</t>
    </r>
    <r>
      <rPr>
        <sz val="11"/>
        <rFont val="FreeSans"/>
        <family val="2"/>
      </rPr>
      <t xml:space="preserve">தைராய்டு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சர்க்கரை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இரத்த அழுத்தம்</t>
    </r>
    <r>
      <rPr>
        <sz val="11"/>
        <rFont val="Nirmala UI"/>
        <family val="0"/>
        <charset val="1"/>
      </rPr>
      <t xml:space="preserve">, </t>
    </r>
    <r>
      <rPr>
        <sz val="11"/>
        <rFont val="FreeSans"/>
        <family val="2"/>
      </rPr>
      <t xml:space="preserve">ஹீமோகுளோபின்</t>
    </r>
    <r>
      <rPr>
        <sz val="11"/>
        <rFont val="Nirmala UI"/>
        <family val="0"/>
        <charset val="1"/>
      </rPr>
      <t xml:space="preserve">) </t>
    </r>
    <r>
      <rPr>
        <sz val="11"/>
        <rFont val="FreeSans"/>
        <family val="2"/>
      </rPr>
      <t xml:space="preserve">செய்துகொள்ளுங்கள்</t>
    </r>
    <r>
      <rPr>
        <sz val="11"/>
        <rFont val="Nirmala UI"/>
        <family val="0"/>
        <charset val="1"/>
      </rPr>
      <t xml:space="preserve">. </t>
    </r>
    <r>
      <rPr>
        <sz val="11"/>
        <rFont val="FreeSans"/>
        <family val="2"/>
      </rPr>
      <t xml:space="preserve">உங்கள் உடலுக்கு ஏற்ற அளவுகளைச் சரிசெய்ய பதிவுபெற்ற உணவியல் நிபுணரை அணுகுங்கள்</t>
    </r>
    <r>
      <rPr>
        <sz val="11"/>
        <rFont val="Nirmala U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</si>
</sst>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+#,##0;\-#,##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4A"/>
      <name val="FreeSans"/>
      <family val="2"/>
    </font>
    <font>
      <b val="true"/>
      <sz val="14"/>
      <color rgb="FF1F5C4A"/>
      <name val="Nirmala UI"/>
      <family val="0"/>
      <charset val="1"/>
    </font>
    <font>
      <i val="true"/>
      <sz val="9"/>
      <color rgb="FF595959"/>
      <name val="FreeSans"/>
      <family val="2"/>
    </font>
    <font>
      <i val="true"/>
      <sz val="9"/>
      <color rgb="FF595959"/>
      <name val="Nirmala UI"/>
      <family val="0"/>
      <charset val="1"/>
    </font>
    <font>
      <b val="true"/>
      <sz val="11"/>
      <color rgb="FFFFFFFF"/>
      <name val="FreeSans"/>
      <family val="2"/>
    </font>
    <font>
      <sz val="11"/>
      <name val="FreeSans"/>
      <family val="2"/>
    </font>
    <font>
      <sz val="11"/>
      <name val="Nirmala UI"/>
      <family val="0"/>
      <charset val="1"/>
    </font>
    <font>
      <sz val="11"/>
      <color rgb="FF0000FF"/>
      <name val="Nirmala UI"/>
      <family val="0"/>
      <charset val="1"/>
    </font>
    <font>
      <b val="true"/>
      <sz val="11"/>
      <name val="Nirmala UI"/>
      <family val="0"/>
      <charset val="1"/>
    </font>
    <font>
      <b val="true"/>
      <sz val="11"/>
      <name val="FreeSans"/>
      <family val="2"/>
    </font>
    <font>
      <b val="true"/>
      <sz val="11"/>
      <color rgb="FFFFFFFF"/>
      <name val="Nirmala UI"/>
      <family val="0"/>
      <charset val="1"/>
    </font>
    <font>
      <sz val="11"/>
      <color rgb="FF000000"/>
      <name val="FreeSans"/>
      <family val="2"/>
    </font>
    <font>
      <sz val="11"/>
      <color rgb="FF000000"/>
      <name val="Nirmala UI"/>
      <family val="0"/>
      <charset val="1"/>
    </font>
    <font>
      <b val="true"/>
      <sz val="11"/>
      <color rgb="FF008000"/>
      <name val="Nirmala UI"/>
      <family val="0"/>
      <charset val="1"/>
    </font>
    <font>
      <i val="true"/>
      <sz val="9"/>
      <name val="FreeSans"/>
      <family val="2"/>
    </font>
    <font>
      <i val="true"/>
      <sz val="9"/>
      <name val="Nirmala UI"/>
      <family val="0"/>
      <charset val="1"/>
    </font>
    <font>
      <sz val="11"/>
      <color rgb="FF008000"/>
      <name val="Nirmala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5C4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AF4EF"/>
        <bgColor rgb="FFFFFFFF"/>
      </patternFill>
    </fill>
    <fill>
      <patternFill patternType="solid">
        <fgColor rgb="FFFFF2CC"/>
        <bgColor rgb="FFEAF4EF"/>
      </patternFill>
    </fill>
    <fill>
      <patternFill patternType="solid">
        <fgColor rgb="FFFFFFFF"/>
        <bgColor rgb="FFEAF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5C4A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4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155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95</v>
      </c>
      <c r="C7" s="4" t="s">
        <v>6</v>
      </c>
    </row>
    <row r="8" customFormat="false" ht="15" hidden="false" customHeight="false" outlineLevel="0" collapsed="false">
      <c r="A8" s="4" t="s">
        <v>10</v>
      </c>
      <c r="B8" s="5" t="n">
        <v>64</v>
      </c>
      <c r="C8" s="4" t="s">
        <v>6</v>
      </c>
    </row>
    <row r="9" customFormat="false" ht="15" hidden="false" customHeight="false" outlineLevel="0" collapsed="false">
      <c r="A9" s="4" t="s">
        <v>11</v>
      </c>
      <c r="B9" s="5" t="n">
        <v>1.2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5" t="n">
        <v>470</v>
      </c>
      <c r="C10" s="4" t="s">
        <v>14</v>
      </c>
    </row>
    <row r="11" customFormat="false" ht="15" hidden="false" customHeight="false" outlineLevel="0" collapsed="false">
      <c r="A11" s="4" t="s">
        <v>15</v>
      </c>
      <c r="B11" s="5" t="n">
        <v>1</v>
      </c>
      <c r="C11" s="4" t="s">
        <v>16</v>
      </c>
    </row>
    <row r="12" customFormat="false" ht="15" hidden="false" customHeight="false" outlineLevel="0" collapsed="false">
      <c r="A12" s="4" t="s">
        <v>17</v>
      </c>
      <c r="B12" s="5" t="n">
        <v>1200</v>
      </c>
      <c r="C12" s="4" t="s">
        <v>18</v>
      </c>
    </row>
    <row r="13" customFormat="false" ht="15" hidden="false" customHeight="false" outlineLevel="0" collapsed="false">
      <c r="A13" s="7" t="s">
        <v>19</v>
      </c>
      <c r="B13" s="7" t="n">
        <f aca="false">ROUND(10*B7+6.25*B6-5*B5-161,-1)</f>
        <v>1560</v>
      </c>
      <c r="C13" s="6" t="s">
        <v>20</v>
      </c>
    </row>
    <row r="14" customFormat="false" ht="15" hidden="false" customHeight="false" outlineLevel="0" collapsed="false">
      <c r="A14" s="7" t="s">
        <v>21</v>
      </c>
      <c r="B14" s="7" t="n">
        <f aca="false">ROUND(B13*B9,-1)</f>
        <v>1870</v>
      </c>
      <c r="C14" s="6" t="s">
        <v>22</v>
      </c>
    </row>
    <row r="15" customFormat="false" ht="15" hidden="false" customHeight="false" outlineLevel="0" collapsed="false">
      <c r="A15" s="8" t="s">
        <v>23</v>
      </c>
      <c r="B15" s="7" t="n">
        <f aca="false">MAX(ROUND(B14-B10,-2),B12)</f>
        <v>1400</v>
      </c>
      <c r="C15" s="6" t="s">
        <v>24</v>
      </c>
    </row>
    <row r="16" customFormat="false" ht="15" hidden="false" customHeight="false" outlineLevel="0" collapsed="false">
      <c r="A16" s="8" t="s">
        <v>25</v>
      </c>
      <c r="B16" s="7" t="n">
        <f aca="false">ROUND(B8*B11,0)</f>
        <v>64</v>
      </c>
      <c r="C16" s="4" t="s">
        <v>26</v>
      </c>
    </row>
    <row r="17" customFormat="false" ht="15" hidden="false" customHeight="false" outlineLevel="0" collapsed="false">
      <c r="A17" s="8" t="s">
        <v>27</v>
      </c>
      <c r="B17" s="7" t="n">
        <f aca="false">ROUND((B14-B15)*7/7700,2)</f>
        <v>0.43</v>
      </c>
      <c r="C17" s="6" t="s">
        <v>28</v>
      </c>
    </row>
    <row r="18" customFormat="false" ht="15" hidden="false" customHeight="false" outlineLevel="0" collapsed="false">
      <c r="A18" s="7" t="s">
        <v>29</v>
      </c>
      <c r="B18" s="7" t="n">
        <f aca="false">ROUND(B7/(B6/100)^2,1)</f>
        <v>39.5</v>
      </c>
      <c r="C1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5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8.65" hidden="false" customHeight="false" outlineLevel="0" collapsed="false">
      <c r="A1" s="9" t="s">
        <v>31</v>
      </c>
    </row>
    <row r="2" customFormat="false" ht="15" hidden="false" customHeight="false" outlineLevel="0" collapsed="false">
      <c r="A2" s="2" t="s">
        <v>32</v>
      </c>
    </row>
    <row r="4" customFormat="false" ht="33.75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</row>
    <row r="5" customFormat="false" ht="44" hidden="false" customHeight="false" outlineLevel="0" collapsed="false">
      <c r="A5" s="10" t="s">
        <v>40</v>
      </c>
      <c r="B5" s="10" t="s">
        <v>41</v>
      </c>
      <c r="C5" s="10" t="s">
        <v>42</v>
      </c>
      <c r="D5" s="11" t="s">
        <v>43</v>
      </c>
      <c r="E5" s="11" t="s">
        <v>44</v>
      </c>
      <c r="F5" s="12" t="n">
        <v>390</v>
      </c>
      <c r="G5" s="12" t="n">
        <v>15</v>
      </c>
    </row>
    <row r="6" customFormat="false" ht="29.85" hidden="false" customHeight="false" outlineLevel="0" collapsed="false">
      <c r="A6" s="10" t="s">
        <v>40</v>
      </c>
      <c r="B6" s="10" t="s">
        <v>45</v>
      </c>
      <c r="C6" s="10" t="s">
        <v>46</v>
      </c>
      <c r="D6" s="11" t="s">
        <v>47</v>
      </c>
      <c r="E6" s="11" t="s">
        <v>48</v>
      </c>
      <c r="F6" s="12" t="n">
        <v>420</v>
      </c>
      <c r="G6" s="12" t="n">
        <v>18</v>
      </c>
    </row>
    <row r="7" customFormat="false" ht="15" hidden="false" customHeight="false" outlineLevel="0" collapsed="false">
      <c r="A7" s="10" t="s">
        <v>40</v>
      </c>
      <c r="B7" s="10" t="s">
        <v>49</v>
      </c>
      <c r="C7" s="10" t="s">
        <v>50</v>
      </c>
      <c r="D7" s="11" t="s">
        <v>51</v>
      </c>
      <c r="E7" s="11" t="s">
        <v>52</v>
      </c>
      <c r="F7" s="12" t="n">
        <v>210</v>
      </c>
      <c r="G7" s="12" t="n">
        <v>9</v>
      </c>
    </row>
    <row r="8" customFormat="false" ht="29.85" hidden="false" customHeight="false" outlineLevel="0" collapsed="false">
      <c r="A8" s="10" t="s">
        <v>40</v>
      </c>
      <c r="B8" s="10" t="s">
        <v>53</v>
      </c>
      <c r="C8" s="10" t="s">
        <v>54</v>
      </c>
      <c r="D8" s="11" t="s">
        <v>55</v>
      </c>
      <c r="E8" s="11" t="s">
        <v>56</v>
      </c>
      <c r="F8" s="12" t="n">
        <v>440</v>
      </c>
      <c r="G8" s="12" t="n">
        <v>20</v>
      </c>
    </row>
    <row r="9" customFormat="false" ht="15" hidden="false" customHeight="false" outlineLevel="0" collapsed="false">
      <c r="A9" s="13" t="s">
        <v>57</v>
      </c>
      <c r="B9" s="13" t="s">
        <v>58</v>
      </c>
      <c r="C9" s="13"/>
      <c r="D9" s="13"/>
      <c r="E9" s="13"/>
      <c r="F9" s="13" t="n">
        <f aca="false">SUM(F5:F8)</f>
        <v>1460</v>
      </c>
      <c r="G9" s="13" t="n">
        <f aca="false">SUM(G5:G8)</f>
        <v>62</v>
      </c>
    </row>
    <row r="10" customFormat="false" ht="26.85" hidden="false" customHeight="false" outlineLevel="0" collapsed="false">
      <c r="A10" s="14" t="s">
        <v>59</v>
      </c>
      <c r="B10" s="14" t="s">
        <v>41</v>
      </c>
      <c r="C10" s="14" t="s">
        <v>60</v>
      </c>
      <c r="D10" s="15" t="s">
        <v>61</v>
      </c>
      <c r="E10" s="15" t="s">
        <v>62</v>
      </c>
      <c r="F10" s="16" t="n">
        <v>350</v>
      </c>
      <c r="G10" s="16" t="n">
        <v>18</v>
      </c>
    </row>
    <row r="11" customFormat="false" ht="29.85" hidden="false" customHeight="false" outlineLevel="0" collapsed="false">
      <c r="A11" s="14" t="s">
        <v>59</v>
      </c>
      <c r="B11" s="14" t="s">
        <v>45</v>
      </c>
      <c r="C11" s="14" t="s">
        <v>63</v>
      </c>
      <c r="D11" s="15" t="s">
        <v>64</v>
      </c>
      <c r="E11" s="15" t="s">
        <v>65</v>
      </c>
      <c r="F11" s="16" t="n">
        <v>490</v>
      </c>
      <c r="G11" s="16" t="n">
        <v>19</v>
      </c>
    </row>
    <row r="12" customFormat="false" ht="15" hidden="false" customHeight="false" outlineLevel="0" collapsed="false">
      <c r="A12" s="14" t="s">
        <v>59</v>
      </c>
      <c r="B12" s="14" t="s">
        <v>49</v>
      </c>
      <c r="C12" s="14" t="s">
        <v>66</v>
      </c>
      <c r="D12" s="15" t="s">
        <v>67</v>
      </c>
      <c r="E12" s="15" t="s">
        <v>68</v>
      </c>
      <c r="F12" s="16" t="n">
        <v>190</v>
      </c>
      <c r="G12" s="16" t="n">
        <v>10</v>
      </c>
    </row>
    <row r="13" customFormat="false" ht="26.85" hidden="false" customHeight="false" outlineLevel="0" collapsed="false">
      <c r="A13" s="14" t="s">
        <v>59</v>
      </c>
      <c r="B13" s="14" t="s">
        <v>53</v>
      </c>
      <c r="C13" s="14" t="s">
        <v>69</v>
      </c>
      <c r="D13" s="15" t="s">
        <v>70</v>
      </c>
      <c r="E13" s="15" t="s">
        <v>71</v>
      </c>
      <c r="F13" s="16" t="n">
        <v>410</v>
      </c>
      <c r="G13" s="16" t="n">
        <v>15</v>
      </c>
    </row>
    <row r="14" customFormat="false" ht="15" hidden="false" customHeight="false" outlineLevel="0" collapsed="false">
      <c r="A14" s="13" t="s">
        <v>72</v>
      </c>
      <c r="B14" s="13" t="s">
        <v>58</v>
      </c>
      <c r="C14" s="13"/>
      <c r="D14" s="13"/>
      <c r="E14" s="13"/>
      <c r="F14" s="13" t="n">
        <f aca="false">SUM(F10:F13)</f>
        <v>1440</v>
      </c>
      <c r="G14" s="13" t="n">
        <f aca="false">SUM(G10:G13)</f>
        <v>62</v>
      </c>
    </row>
    <row r="15" customFormat="false" ht="29.85" hidden="false" customHeight="false" outlineLevel="0" collapsed="false">
      <c r="A15" s="10" t="s">
        <v>73</v>
      </c>
      <c r="B15" s="10" t="s">
        <v>41</v>
      </c>
      <c r="C15" s="10" t="s">
        <v>74</v>
      </c>
      <c r="D15" s="11" t="s">
        <v>75</v>
      </c>
      <c r="E15" s="11" t="s">
        <v>76</v>
      </c>
      <c r="F15" s="12" t="n">
        <v>380</v>
      </c>
      <c r="G15" s="12" t="n">
        <v>16</v>
      </c>
    </row>
    <row r="16" customFormat="false" ht="29.85" hidden="false" customHeight="false" outlineLevel="0" collapsed="false">
      <c r="A16" s="10" t="s">
        <v>73</v>
      </c>
      <c r="B16" s="10" t="s">
        <v>45</v>
      </c>
      <c r="C16" s="10" t="s">
        <v>77</v>
      </c>
      <c r="D16" s="11" t="s">
        <v>78</v>
      </c>
      <c r="E16" s="11" t="s">
        <v>79</v>
      </c>
      <c r="F16" s="12" t="n">
        <v>390</v>
      </c>
      <c r="G16" s="12" t="n">
        <v>15</v>
      </c>
    </row>
    <row r="17" customFormat="false" ht="15" hidden="false" customHeight="false" outlineLevel="0" collapsed="false">
      <c r="A17" s="10" t="s">
        <v>73</v>
      </c>
      <c r="B17" s="10" t="s">
        <v>49</v>
      </c>
      <c r="C17" s="10" t="s">
        <v>80</v>
      </c>
      <c r="D17" s="10" t="s">
        <v>81</v>
      </c>
      <c r="E17" s="11" t="s">
        <v>82</v>
      </c>
      <c r="F17" s="12" t="n">
        <v>200</v>
      </c>
      <c r="G17" s="12" t="n">
        <v>8</v>
      </c>
    </row>
    <row r="18" customFormat="false" ht="26.85" hidden="false" customHeight="false" outlineLevel="0" collapsed="false">
      <c r="A18" s="10" t="s">
        <v>73</v>
      </c>
      <c r="B18" s="10" t="s">
        <v>53</v>
      </c>
      <c r="C18" s="10" t="s">
        <v>83</v>
      </c>
      <c r="D18" s="11" t="s">
        <v>84</v>
      </c>
      <c r="E18" s="11" t="s">
        <v>85</v>
      </c>
      <c r="F18" s="12" t="n">
        <v>450</v>
      </c>
      <c r="G18" s="12" t="n">
        <v>22</v>
      </c>
    </row>
    <row r="19" customFormat="false" ht="15" hidden="false" customHeight="false" outlineLevel="0" collapsed="false">
      <c r="A19" s="13" t="s">
        <v>86</v>
      </c>
      <c r="B19" s="13" t="s">
        <v>58</v>
      </c>
      <c r="C19" s="13"/>
      <c r="D19" s="13"/>
      <c r="E19" s="13"/>
      <c r="F19" s="13" t="n">
        <f aca="false">SUM(F15:F18)</f>
        <v>1420</v>
      </c>
      <c r="G19" s="13" t="n">
        <f aca="false">SUM(G15:G18)</f>
        <v>61</v>
      </c>
    </row>
    <row r="20" customFormat="false" ht="29.85" hidden="false" customHeight="false" outlineLevel="0" collapsed="false">
      <c r="A20" s="14" t="s">
        <v>87</v>
      </c>
      <c r="B20" s="14" t="s">
        <v>41</v>
      </c>
      <c r="C20" s="14" t="s">
        <v>88</v>
      </c>
      <c r="D20" s="15" t="s">
        <v>89</v>
      </c>
      <c r="E20" s="15" t="s">
        <v>90</v>
      </c>
      <c r="F20" s="16" t="n">
        <v>390</v>
      </c>
      <c r="G20" s="16" t="n">
        <v>15</v>
      </c>
    </row>
    <row r="21" customFormat="false" ht="29.85" hidden="false" customHeight="false" outlineLevel="0" collapsed="false">
      <c r="A21" s="14" t="s">
        <v>87</v>
      </c>
      <c r="B21" s="14" t="s">
        <v>45</v>
      </c>
      <c r="C21" s="14" t="s">
        <v>91</v>
      </c>
      <c r="D21" s="15" t="s">
        <v>92</v>
      </c>
      <c r="E21" s="15" t="s">
        <v>93</v>
      </c>
      <c r="F21" s="16" t="n">
        <v>430</v>
      </c>
      <c r="G21" s="16" t="n">
        <v>18</v>
      </c>
    </row>
    <row r="22" customFormat="false" ht="15" hidden="false" customHeight="false" outlineLevel="0" collapsed="false">
      <c r="A22" s="14" t="s">
        <v>87</v>
      </c>
      <c r="B22" s="14" t="s">
        <v>49</v>
      </c>
      <c r="C22" s="14" t="s">
        <v>94</v>
      </c>
      <c r="D22" s="15" t="s">
        <v>95</v>
      </c>
      <c r="E22" s="15" t="s">
        <v>96</v>
      </c>
      <c r="F22" s="16" t="n">
        <v>190</v>
      </c>
      <c r="G22" s="16" t="n">
        <v>7</v>
      </c>
    </row>
    <row r="23" customFormat="false" ht="26.85" hidden="false" customHeight="false" outlineLevel="0" collapsed="false">
      <c r="A23" s="14" t="s">
        <v>87</v>
      </c>
      <c r="B23" s="14" t="s">
        <v>53</v>
      </c>
      <c r="C23" s="14" t="s">
        <v>97</v>
      </c>
      <c r="D23" s="15" t="s">
        <v>98</v>
      </c>
      <c r="E23" s="15" t="s">
        <v>99</v>
      </c>
      <c r="F23" s="16" t="n">
        <v>410</v>
      </c>
      <c r="G23" s="16" t="n">
        <v>20</v>
      </c>
    </row>
    <row r="24" customFormat="false" ht="15" hidden="false" customHeight="false" outlineLevel="0" collapsed="false">
      <c r="A24" s="13" t="s">
        <v>100</v>
      </c>
      <c r="B24" s="13" t="s">
        <v>58</v>
      </c>
      <c r="C24" s="13"/>
      <c r="D24" s="13"/>
      <c r="E24" s="13"/>
      <c r="F24" s="13" t="n">
        <f aca="false">SUM(F20:F23)</f>
        <v>1420</v>
      </c>
      <c r="G24" s="13" t="n">
        <f aca="false">SUM(G20:G23)</f>
        <v>60</v>
      </c>
    </row>
    <row r="25" customFormat="false" ht="29.85" hidden="false" customHeight="false" outlineLevel="0" collapsed="false">
      <c r="A25" s="10" t="s">
        <v>101</v>
      </c>
      <c r="B25" s="10" t="s">
        <v>41</v>
      </c>
      <c r="C25" s="10" t="s">
        <v>102</v>
      </c>
      <c r="D25" s="11" t="s">
        <v>103</v>
      </c>
      <c r="E25" s="11" t="s">
        <v>104</v>
      </c>
      <c r="F25" s="12" t="n">
        <v>360</v>
      </c>
      <c r="G25" s="12" t="n">
        <v>14</v>
      </c>
    </row>
    <row r="26" customFormat="false" ht="29.85" hidden="false" customHeight="false" outlineLevel="0" collapsed="false">
      <c r="A26" s="10" t="s">
        <v>101</v>
      </c>
      <c r="B26" s="10" t="s">
        <v>45</v>
      </c>
      <c r="C26" s="10" t="s">
        <v>105</v>
      </c>
      <c r="D26" s="11" t="s">
        <v>106</v>
      </c>
      <c r="E26" s="11" t="s">
        <v>107</v>
      </c>
      <c r="F26" s="12" t="n">
        <v>430</v>
      </c>
      <c r="G26" s="12" t="n">
        <v>17</v>
      </c>
    </row>
    <row r="27" customFormat="false" ht="26.85" hidden="false" customHeight="false" outlineLevel="0" collapsed="false">
      <c r="A27" s="10" t="s">
        <v>101</v>
      </c>
      <c r="B27" s="10" t="s">
        <v>49</v>
      </c>
      <c r="C27" s="10" t="s">
        <v>108</v>
      </c>
      <c r="D27" s="11" t="s">
        <v>109</v>
      </c>
      <c r="E27" s="11" t="s">
        <v>110</v>
      </c>
      <c r="F27" s="12" t="n">
        <v>210</v>
      </c>
      <c r="G27" s="12" t="n">
        <v>10</v>
      </c>
    </row>
    <row r="28" customFormat="false" ht="26.85" hidden="false" customHeight="false" outlineLevel="0" collapsed="false">
      <c r="A28" s="10" t="s">
        <v>101</v>
      </c>
      <c r="B28" s="10" t="s">
        <v>53</v>
      </c>
      <c r="C28" s="10" t="s">
        <v>111</v>
      </c>
      <c r="D28" s="11" t="s">
        <v>112</v>
      </c>
      <c r="E28" s="11" t="s">
        <v>113</v>
      </c>
      <c r="F28" s="12" t="n">
        <v>440</v>
      </c>
      <c r="G28" s="12" t="n">
        <v>20</v>
      </c>
    </row>
    <row r="29" customFormat="false" ht="15" hidden="false" customHeight="false" outlineLevel="0" collapsed="false">
      <c r="A29" s="13" t="s">
        <v>114</v>
      </c>
      <c r="B29" s="13" t="s">
        <v>58</v>
      </c>
      <c r="C29" s="13"/>
      <c r="D29" s="13"/>
      <c r="E29" s="13"/>
      <c r="F29" s="13" t="n">
        <f aca="false">SUM(F25:F28)</f>
        <v>1440</v>
      </c>
      <c r="G29" s="13" t="n">
        <f aca="false">SUM(G25:G28)</f>
        <v>61</v>
      </c>
    </row>
    <row r="30" customFormat="false" ht="29.85" hidden="false" customHeight="false" outlineLevel="0" collapsed="false">
      <c r="A30" s="14" t="s">
        <v>115</v>
      </c>
      <c r="B30" s="14" t="s">
        <v>41</v>
      </c>
      <c r="C30" s="14" t="s">
        <v>116</v>
      </c>
      <c r="D30" s="15" t="s">
        <v>117</v>
      </c>
      <c r="E30" s="15" t="s">
        <v>118</v>
      </c>
      <c r="F30" s="16" t="n">
        <v>330</v>
      </c>
      <c r="G30" s="16" t="n">
        <v>11</v>
      </c>
    </row>
    <row r="31" customFormat="false" ht="29.85" hidden="false" customHeight="false" outlineLevel="0" collapsed="false">
      <c r="A31" s="14" t="s">
        <v>115</v>
      </c>
      <c r="B31" s="14" t="s">
        <v>119</v>
      </c>
      <c r="C31" s="14" t="s">
        <v>120</v>
      </c>
      <c r="D31" s="15" t="s">
        <v>121</v>
      </c>
      <c r="E31" s="15" t="s">
        <v>122</v>
      </c>
      <c r="F31" s="16" t="n">
        <v>450</v>
      </c>
      <c r="G31" s="16" t="n">
        <v>17</v>
      </c>
    </row>
    <row r="32" customFormat="false" ht="15" hidden="false" customHeight="false" outlineLevel="0" collapsed="false">
      <c r="A32" s="14" t="s">
        <v>115</v>
      </c>
      <c r="B32" s="14" t="s">
        <v>49</v>
      </c>
      <c r="C32" s="14" t="s">
        <v>123</v>
      </c>
      <c r="D32" s="14" t="s">
        <v>124</v>
      </c>
      <c r="E32" s="15" t="s">
        <v>125</v>
      </c>
      <c r="F32" s="16" t="n">
        <v>180</v>
      </c>
      <c r="G32" s="16" t="n">
        <v>9</v>
      </c>
    </row>
    <row r="33" customFormat="false" ht="26.85" hidden="false" customHeight="false" outlineLevel="0" collapsed="false">
      <c r="A33" s="14" t="s">
        <v>115</v>
      </c>
      <c r="B33" s="14" t="s">
        <v>53</v>
      </c>
      <c r="C33" s="14" t="s">
        <v>126</v>
      </c>
      <c r="D33" s="15" t="s">
        <v>127</v>
      </c>
      <c r="E33" s="15" t="s">
        <v>128</v>
      </c>
      <c r="F33" s="16" t="n">
        <v>470</v>
      </c>
      <c r="G33" s="16" t="n">
        <v>21</v>
      </c>
    </row>
    <row r="34" customFormat="false" ht="15" hidden="false" customHeight="false" outlineLevel="0" collapsed="false">
      <c r="A34" s="13" t="s">
        <v>129</v>
      </c>
      <c r="B34" s="13" t="s">
        <v>58</v>
      </c>
      <c r="C34" s="13"/>
      <c r="D34" s="13"/>
      <c r="E34" s="13"/>
      <c r="F34" s="13" t="n">
        <f aca="false">SUM(F30:F33)</f>
        <v>1430</v>
      </c>
      <c r="G34" s="13" t="n">
        <f aca="false">SUM(G30:G33)</f>
        <v>58</v>
      </c>
    </row>
    <row r="35" customFormat="false" ht="41" hidden="false" customHeight="false" outlineLevel="0" collapsed="false">
      <c r="A35" s="10" t="s">
        <v>130</v>
      </c>
      <c r="B35" s="10" t="s">
        <v>41</v>
      </c>
      <c r="C35" s="10" t="s">
        <v>131</v>
      </c>
      <c r="D35" s="11" t="s">
        <v>132</v>
      </c>
      <c r="E35" s="11" t="s">
        <v>133</v>
      </c>
      <c r="F35" s="12" t="n">
        <v>520</v>
      </c>
      <c r="G35" s="12" t="n">
        <v>20</v>
      </c>
    </row>
    <row r="36" customFormat="false" ht="29.85" hidden="false" customHeight="false" outlineLevel="0" collapsed="false">
      <c r="A36" s="10" t="s">
        <v>130</v>
      </c>
      <c r="B36" s="10" t="s">
        <v>119</v>
      </c>
      <c r="C36" s="10" t="s">
        <v>134</v>
      </c>
      <c r="D36" s="11" t="s">
        <v>135</v>
      </c>
      <c r="E36" s="11" t="s">
        <v>136</v>
      </c>
      <c r="F36" s="12" t="n">
        <v>440</v>
      </c>
      <c r="G36" s="12" t="n">
        <v>16</v>
      </c>
    </row>
    <row r="37" customFormat="false" ht="15" hidden="false" customHeight="false" outlineLevel="0" collapsed="false">
      <c r="A37" s="10" t="s">
        <v>130</v>
      </c>
      <c r="B37" s="10" t="s">
        <v>49</v>
      </c>
      <c r="C37" s="10" t="s">
        <v>66</v>
      </c>
      <c r="D37" s="11" t="s">
        <v>67</v>
      </c>
      <c r="E37" s="11" t="s">
        <v>68</v>
      </c>
      <c r="F37" s="12" t="n">
        <v>190</v>
      </c>
      <c r="G37" s="12" t="n">
        <v>10</v>
      </c>
    </row>
    <row r="38" customFormat="false" ht="26.85" hidden="false" customHeight="false" outlineLevel="0" collapsed="false">
      <c r="A38" s="10" t="s">
        <v>130</v>
      </c>
      <c r="B38" s="10" t="s">
        <v>53</v>
      </c>
      <c r="C38" s="10" t="s">
        <v>137</v>
      </c>
      <c r="D38" s="11" t="s">
        <v>138</v>
      </c>
      <c r="E38" s="11" t="s">
        <v>139</v>
      </c>
      <c r="F38" s="12" t="n">
        <v>310</v>
      </c>
      <c r="G38" s="12" t="n">
        <v>13</v>
      </c>
    </row>
    <row r="39" customFormat="false" ht="15" hidden="false" customHeight="false" outlineLevel="0" collapsed="false">
      <c r="A39" s="13" t="s">
        <v>140</v>
      </c>
      <c r="B39" s="13" t="s">
        <v>58</v>
      </c>
      <c r="C39" s="13"/>
      <c r="D39" s="13"/>
      <c r="E39" s="13"/>
      <c r="F39" s="13" t="n">
        <f aca="false">SUM(F35:F38)</f>
        <v>1460</v>
      </c>
      <c r="G39" s="13" t="n">
        <f aca="false">SUM(G35:G38)</f>
        <v>59</v>
      </c>
    </row>
    <row r="40" customFormat="false" ht="15" hidden="false" customHeight="false" outlineLevel="0" collapsed="false">
      <c r="E40" s="17" t="s">
        <v>141</v>
      </c>
      <c r="F40" s="17" t="n">
        <f aca="false">ROUND(AVERAGE(F9,F14,F19,F24,F29,F34,F39),0)</f>
        <v>1439</v>
      </c>
      <c r="G40" s="17" t="n">
        <f aca="false">ROUND(AVERAGE(G9,G14,G19,G24,G29,G34,G39),0)</f>
        <v>60</v>
      </c>
    </row>
    <row r="41" customFormat="false" ht="15" hidden="false" customHeight="false" outlineLevel="0" collapsed="false">
      <c r="E41" s="17" t="s">
        <v>142</v>
      </c>
      <c r="F41" s="18" t="n">
        <f aca="false">'ஆற்றல் இலக்கு'!B15</f>
        <v>1400</v>
      </c>
      <c r="G41" s="18" t="n">
        <f aca="false">'ஆற்றல் இலக்கு'!B16</f>
        <v>64</v>
      </c>
    </row>
    <row r="43" customFormat="false" ht="15" hidden="false" customHeight="false" outlineLevel="0" collapsed="false">
      <c r="A43" s="19" t="s">
        <v>143</v>
      </c>
    </row>
  </sheetData>
  <autoFilter ref="A4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3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33.75" hidden="false" customHeight="true" outlineLevel="0" collapsed="false">
      <c r="A4" s="3" t="s">
        <v>33</v>
      </c>
      <c r="B4" s="3" t="s">
        <v>146</v>
      </c>
      <c r="C4" s="3" t="s">
        <v>147</v>
      </c>
      <c r="D4" s="3" t="s">
        <v>148</v>
      </c>
      <c r="E4" s="3" t="s">
        <v>149</v>
      </c>
      <c r="F4" s="3" t="s">
        <v>150</v>
      </c>
    </row>
    <row r="5" customFormat="false" ht="15" hidden="false" customHeight="false" outlineLevel="0" collapsed="false">
      <c r="A5" s="20" t="s">
        <v>40</v>
      </c>
      <c r="B5" s="21" t="n">
        <f aca="false">'உணவுத் திட்டம்'!F9</f>
        <v>1460</v>
      </c>
      <c r="C5" s="21" t="n">
        <f aca="false">'உணவுத் திட்டம்'!G9</f>
        <v>62</v>
      </c>
      <c r="D5" s="22" t="n">
        <f aca="false">B5-'ஆற்றல் இலக்கு'!$B$15</f>
        <v>60</v>
      </c>
      <c r="E5" s="20" t="s">
        <v>151</v>
      </c>
      <c r="F5" s="20" t="s">
        <v>152</v>
      </c>
    </row>
    <row r="6" customFormat="false" ht="15" hidden="false" customHeight="false" outlineLevel="0" collapsed="false">
      <c r="A6" s="20" t="s">
        <v>59</v>
      </c>
      <c r="B6" s="21" t="n">
        <f aca="false">'உணவுத் திட்டம்'!F14</f>
        <v>1440</v>
      </c>
      <c r="C6" s="21" t="n">
        <f aca="false">'உணவுத் திட்டம்'!G14</f>
        <v>62</v>
      </c>
      <c r="D6" s="22" t="n">
        <f aca="false">B6-'ஆற்றல் இலக்கு'!$B$15</f>
        <v>40</v>
      </c>
      <c r="E6" s="20" t="s">
        <v>153</v>
      </c>
      <c r="F6" s="20" t="s">
        <v>154</v>
      </c>
    </row>
    <row r="7" customFormat="false" ht="15" hidden="false" customHeight="false" outlineLevel="0" collapsed="false">
      <c r="A7" s="20" t="s">
        <v>73</v>
      </c>
      <c r="B7" s="21" t="n">
        <f aca="false">'உணவுத் திட்டம்'!F19</f>
        <v>1420</v>
      </c>
      <c r="C7" s="21" t="n">
        <f aca="false">'உணவுத் திட்டம்'!G19</f>
        <v>61</v>
      </c>
      <c r="D7" s="22" t="n">
        <f aca="false">B7-'ஆற்றல் இலக்கு'!$B$15</f>
        <v>20</v>
      </c>
      <c r="E7" s="20" t="s">
        <v>155</v>
      </c>
      <c r="F7" s="20" t="s">
        <v>156</v>
      </c>
    </row>
    <row r="8" customFormat="false" ht="15" hidden="false" customHeight="false" outlineLevel="0" collapsed="false">
      <c r="A8" s="20" t="s">
        <v>87</v>
      </c>
      <c r="B8" s="21" t="n">
        <f aca="false">'உணவுத் திட்டம்'!F24</f>
        <v>1420</v>
      </c>
      <c r="C8" s="21" t="n">
        <f aca="false">'உணவுத் திட்டம்'!G24</f>
        <v>60</v>
      </c>
      <c r="D8" s="22" t="n">
        <f aca="false">B8-'ஆற்றல் இலக்கு'!$B$15</f>
        <v>20</v>
      </c>
      <c r="E8" s="20" t="s">
        <v>157</v>
      </c>
      <c r="F8" s="20" t="s">
        <v>158</v>
      </c>
    </row>
    <row r="9" customFormat="false" ht="15" hidden="false" customHeight="false" outlineLevel="0" collapsed="false">
      <c r="A9" s="20" t="s">
        <v>101</v>
      </c>
      <c r="B9" s="21" t="n">
        <f aca="false">'உணவுத் திட்டம்'!F29</f>
        <v>1440</v>
      </c>
      <c r="C9" s="21" t="n">
        <f aca="false">'உணவுத் திட்டம்'!G29</f>
        <v>61</v>
      </c>
      <c r="D9" s="22" t="n">
        <f aca="false">B9-'ஆற்றல் இலக்கு'!$B$15</f>
        <v>40</v>
      </c>
      <c r="E9" s="20" t="s">
        <v>159</v>
      </c>
      <c r="F9" s="20" t="s">
        <v>160</v>
      </c>
    </row>
    <row r="10" customFormat="false" ht="15" hidden="false" customHeight="false" outlineLevel="0" collapsed="false">
      <c r="A10" s="20" t="s">
        <v>115</v>
      </c>
      <c r="B10" s="21" t="n">
        <f aca="false">'உணவுத் திட்டம்'!F34</f>
        <v>1430</v>
      </c>
      <c r="C10" s="21" t="n">
        <f aca="false">'உணவுத் திட்டம்'!G34</f>
        <v>58</v>
      </c>
      <c r="D10" s="22" t="n">
        <f aca="false">B10-'ஆற்றல் இலக்கு'!$B$15</f>
        <v>30</v>
      </c>
      <c r="E10" s="20" t="s">
        <v>161</v>
      </c>
      <c r="F10" s="20" t="s">
        <v>162</v>
      </c>
    </row>
    <row r="11" customFormat="false" ht="15" hidden="false" customHeight="false" outlineLevel="0" collapsed="false">
      <c r="A11" s="20" t="s">
        <v>130</v>
      </c>
      <c r="B11" s="21" t="n">
        <f aca="false">'உணவுத் திட்டம்'!F39</f>
        <v>1460</v>
      </c>
      <c r="C11" s="21" t="n">
        <f aca="false">'உணவுத் திட்டம்'!G39</f>
        <v>59</v>
      </c>
      <c r="D11" s="22" t="n">
        <f aca="false">B11-'ஆற்றல் இலக்கு'!$B$15</f>
        <v>60</v>
      </c>
      <c r="E11" s="20" t="s">
        <v>163</v>
      </c>
      <c r="F11" s="20" t="s">
        <v>164</v>
      </c>
    </row>
    <row r="12" customFormat="false" ht="15" hidden="false" customHeight="false" outlineLevel="0" collapsed="false">
      <c r="A12" s="17" t="s">
        <v>165</v>
      </c>
      <c r="B12" s="17" t="n">
        <f aca="false">ROUND(AVERAGE(B5:B11),0)</f>
        <v>1439</v>
      </c>
      <c r="C12" s="17" t="n">
        <f aca="false">ROUND(AVERAGE(C5:C11),0)</f>
        <v>60</v>
      </c>
    </row>
    <row r="14" customFormat="false" ht="15" hidden="false" customHeight="false" outlineLevel="0" collapsed="false">
      <c r="A14" s="19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8.6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3.75" hidden="false" customHeight="true" outlineLevel="0" collapsed="false">
      <c r="A4" s="3" t="s">
        <v>169</v>
      </c>
      <c r="B4" s="3" t="s">
        <v>170</v>
      </c>
      <c r="C4" s="3" t="s">
        <v>171</v>
      </c>
      <c r="D4" s="3" t="s">
        <v>172</v>
      </c>
    </row>
    <row r="5" customFormat="false" ht="26.85" hidden="false" customHeight="false" outlineLevel="0" collapsed="false">
      <c r="A5" s="8" t="s">
        <v>173</v>
      </c>
      <c r="B5" s="4" t="s">
        <v>174</v>
      </c>
      <c r="C5" s="6" t="s">
        <v>175</v>
      </c>
      <c r="D5" s="4"/>
    </row>
    <row r="6" customFormat="false" ht="26.85" hidden="false" customHeight="false" outlineLevel="0" collapsed="false">
      <c r="A6" s="8" t="s">
        <v>173</v>
      </c>
      <c r="B6" s="4" t="s">
        <v>153</v>
      </c>
      <c r="C6" s="6" t="s">
        <v>176</v>
      </c>
      <c r="D6" s="4"/>
    </row>
    <row r="7" customFormat="false" ht="26.85" hidden="false" customHeight="false" outlineLevel="0" collapsed="false">
      <c r="A7" s="8" t="s">
        <v>173</v>
      </c>
      <c r="B7" s="4" t="s">
        <v>177</v>
      </c>
      <c r="C7" s="6" t="s">
        <v>178</v>
      </c>
      <c r="D7" s="4"/>
    </row>
    <row r="8" customFormat="false" ht="26.85" hidden="false" customHeight="false" outlineLevel="0" collapsed="false">
      <c r="A8" s="8" t="s">
        <v>173</v>
      </c>
      <c r="B8" s="4" t="s">
        <v>179</v>
      </c>
      <c r="C8" s="6" t="s">
        <v>180</v>
      </c>
      <c r="D8" s="4"/>
    </row>
    <row r="9" customFormat="false" ht="26.85" hidden="false" customHeight="false" outlineLevel="0" collapsed="false">
      <c r="A9" s="8" t="s">
        <v>173</v>
      </c>
      <c r="B9" s="4" t="s">
        <v>181</v>
      </c>
      <c r="C9" s="6" t="s">
        <v>180</v>
      </c>
      <c r="D9" s="4"/>
    </row>
    <row r="10" customFormat="false" ht="26.85" hidden="false" customHeight="false" outlineLevel="0" collapsed="false">
      <c r="A10" s="8" t="s">
        <v>173</v>
      </c>
      <c r="B10" s="4" t="s">
        <v>163</v>
      </c>
      <c r="C10" s="6" t="s">
        <v>182</v>
      </c>
      <c r="D10" s="4"/>
    </row>
    <row r="11" customFormat="false" ht="29.85" hidden="false" customHeight="false" outlineLevel="0" collapsed="false">
      <c r="A11" s="8" t="s">
        <v>173</v>
      </c>
      <c r="B11" s="4" t="s">
        <v>183</v>
      </c>
      <c r="C11" s="6" t="s">
        <v>184</v>
      </c>
      <c r="D11" s="4"/>
    </row>
    <row r="12" customFormat="false" ht="26.85" hidden="false" customHeight="false" outlineLevel="0" collapsed="false">
      <c r="A12" s="8" t="s">
        <v>173</v>
      </c>
      <c r="B12" s="4" t="s">
        <v>185</v>
      </c>
      <c r="C12" s="6" t="s">
        <v>182</v>
      </c>
      <c r="D12" s="4"/>
    </row>
    <row r="13" customFormat="false" ht="26.85" hidden="false" customHeight="false" outlineLevel="0" collapsed="false">
      <c r="A13" s="8" t="s">
        <v>173</v>
      </c>
      <c r="B13" s="4" t="s">
        <v>186</v>
      </c>
      <c r="C13" s="6" t="s">
        <v>187</v>
      </c>
      <c r="D13" s="4"/>
    </row>
    <row r="14" customFormat="false" ht="15" hidden="false" customHeight="false" outlineLevel="0" collapsed="false">
      <c r="A14" s="8" t="s">
        <v>188</v>
      </c>
      <c r="B14" s="4" t="s">
        <v>189</v>
      </c>
      <c r="C14" s="6" t="s">
        <v>190</v>
      </c>
      <c r="D14" s="4"/>
    </row>
    <row r="15" customFormat="false" ht="15" hidden="false" customHeight="false" outlineLevel="0" collapsed="false">
      <c r="A15" s="8" t="s">
        <v>188</v>
      </c>
      <c r="B15" s="4" t="s">
        <v>191</v>
      </c>
      <c r="C15" s="6" t="s">
        <v>190</v>
      </c>
      <c r="D15" s="4"/>
    </row>
    <row r="16" customFormat="false" ht="15" hidden="false" customHeight="false" outlineLevel="0" collapsed="false">
      <c r="A16" s="8" t="s">
        <v>188</v>
      </c>
      <c r="B16" s="4" t="s">
        <v>192</v>
      </c>
      <c r="C16" s="6" t="s">
        <v>182</v>
      </c>
      <c r="D16" s="4"/>
    </row>
    <row r="17" customFormat="false" ht="15" hidden="false" customHeight="false" outlineLevel="0" collapsed="false">
      <c r="A17" s="8" t="s">
        <v>188</v>
      </c>
      <c r="B17" s="4" t="s">
        <v>193</v>
      </c>
      <c r="C17" s="6" t="s">
        <v>178</v>
      </c>
      <c r="D17" s="4"/>
    </row>
    <row r="18" customFormat="false" ht="15" hidden="false" customHeight="false" outlineLevel="0" collapsed="false">
      <c r="A18" s="8" t="s">
        <v>188</v>
      </c>
      <c r="B18" s="4" t="s">
        <v>194</v>
      </c>
      <c r="C18" s="6" t="s">
        <v>187</v>
      </c>
      <c r="D18" s="4"/>
    </row>
    <row r="19" customFormat="false" ht="15" hidden="false" customHeight="false" outlineLevel="0" collapsed="false">
      <c r="A19" s="8" t="s">
        <v>188</v>
      </c>
      <c r="B19" s="4" t="s">
        <v>195</v>
      </c>
      <c r="C19" s="6" t="s">
        <v>187</v>
      </c>
      <c r="D19" s="4"/>
    </row>
    <row r="20" customFormat="false" ht="15" hidden="false" customHeight="false" outlineLevel="0" collapsed="false">
      <c r="A20" s="8" t="s">
        <v>188</v>
      </c>
      <c r="B20" s="4" t="s">
        <v>196</v>
      </c>
      <c r="C20" s="6" t="s">
        <v>187</v>
      </c>
      <c r="D20" s="4"/>
    </row>
    <row r="21" customFormat="false" ht="15" hidden="false" customHeight="false" outlineLevel="0" collapsed="false">
      <c r="A21" s="8" t="s">
        <v>188</v>
      </c>
      <c r="B21" s="4" t="s">
        <v>197</v>
      </c>
      <c r="C21" s="6" t="s">
        <v>187</v>
      </c>
      <c r="D21" s="4"/>
    </row>
    <row r="22" customFormat="false" ht="15" hidden="false" customHeight="false" outlineLevel="0" collapsed="false">
      <c r="A22" s="8" t="s">
        <v>198</v>
      </c>
      <c r="B22" s="4" t="s">
        <v>199</v>
      </c>
      <c r="C22" s="6" t="s">
        <v>200</v>
      </c>
      <c r="D22" s="4"/>
    </row>
    <row r="23" customFormat="false" ht="15" hidden="false" customHeight="false" outlineLevel="0" collapsed="false">
      <c r="A23" s="8" t="s">
        <v>198</v>
      </c>
      <c r="B23" s="4" t="s">
        <v>201</v>
      </c>
      <c r="C23" s="6" t="s">
        <v>184</v>
      </c>
      <c r="D23" s="4"/>
    </row>
    <row r="24" customFormat="false" ht="15" hidden="false" customHeight="false" outlineLevel="0" collapsed="false">
      <c r="A24" s="8" t="s">
        <v>198</v>
      </c>
      <c r="B24" s="4" t="s">
        <v>202</v>
      </c>
      <c r="C24" s="6" t="s">
        <v>182</v>
      </c>
      <c r="D24" s="4"/>
    </row>
    <row r="25" customFormat="false" ht="15" hidden="false" customHeight="false" outlineLevel="0" collapsed="false">
      <c r="A25" s="8" t="s">
        <v>198</v>
      </c>
      <c r="B25" s="4" t="s">
        <v>203</v>
      </c>
      <c r="C25" s="6" t="s">
        <v>182</v>
      </c>
      <c r="D25" s="4"/>
    </row>
    <row r="26" customFormat="false" ht="15" hidden="false" customHeight="false" outlineLevel="0" collapsed="false">
      <c r="A26" s="8" t="s">
        <v>198</v>
      </c>
      <c r="B26" s="4" t="s">
        <v>204</v>
      </c>
      <c r="C26" s="6" t="s">
        <v>175</v>
      </c>
      <c r="D26" s="4"/>
    </row>
    <row r="27" customFormat="false" ht="15" hidden="false" customHeight="false" outlineLevel="0" collapsed="false">
      <c r="A27" s="8" t="s">
        <v>198</v>
      </c>
      <c r="B27" s="4" t="s">
        <v>205</v>
      </c>
      <c r="C27" s="6" t="s">
        <v>175</v>
      </c>
      <c r="D27" s="4"/>
    </row>
    <row r="28" customFormat="false" ht="15" hidden="false" customHeight="false" outlineLevel="0" collapsed="false">
      <c r="A28" s="8" t="s">
        <v>198</v>
      </c>
      <c r="B28" s="4" t="s">
        <v>206</v>
      </c>
      <c r="C28" s="6" t="s">
        <v>175</v>
      </c>
      <c r="D28" s="4"/>
    </row>
    <row r="29" customFormat="false" ht="15" hidden="false" customHeight="false" outlineLevel="0" collapsed="false">
      <c r="A29" s="8" t="s">
        <v>198</v>
      </c>
      <c r="B29" s="4" t="s">
        <v>207</v>
      </c>
      <c r="C29" s="6" t="s">
        <v>208</v>
      </c>
      <c r="D29" s="4"/>
    </row>
    <row r="30" customFormat="false" ht="15" hidden="false" customHeight="false" outlineLevel="0" collapsed="false">
      <c r="A30" s="8" t="s">
        <v>198</v>
      </c>
      <c r="B30" s="4" t="s">
        <v>209</v>
      </c>
      <c r="C30" s="6" t="s">
        <v>210</v>
      </c>
      <c r="D30" s="4"/>
    </row>
    <row r="31" customFormat="false" ht="15" hidden="false" customHeight="false" outlineLevel="0" collapsed="false">
      <c r="A31" s="8" t="s">
        <v>198</v>
      </c>
      <c r="B31" s="4" t="s">
        <v>211</v>
      </c>
      <c r="C31" s="6" t="s">
        <v>212</v>
      </c>
      <c r="D31" s="4"/>
    </row>
    <row r="32" customFormat="false" ht="15" hidden="false" customHeight="false" outlineLevel="0" collapsed="false">
      <c r="A32" s="8" t="s">
        <v>198</v>
      </c>
      <c r="B32" s="4" t="s">
        <v>213</v>
      </c>
      <c r="C32" s="6" t="s">
        <v>180</v>
      </c>
      <c r="D32" s="4"/>
    </row>
    <row r="33" customFormat="false" ht="29.85" hidden="false" customHeight="false" outlineLevel="0" collapsed="false">
      <c r="A33" s="8" t="s">
        <v>198</v>
      </c>
      <c r="B33" s="4" t="s">
        <v>214</v>
      </c>
      <c r="C33" s="6" t="s">
        <v>182</v>
      </c>
      <c r="D33" s="4"/>
    </row>
    <row r="34" customFormat="false" ht="15" hidden="false" customHeight="false" outlineLevel="0" collapsed="false">
      <c r="A34" s="8" t="s">
        <v>198</v>
      </c>
      <c r="B34" s="4" t="s">
        <v>215</v>
      </c>
      <c r="C34" s="6" t="s">
        <v>216</v>
      </c>
      <c r="D34" s="4"/>
    </row>
    <row r="35" customFormat="false" ht="15" hidden="false" customHeight="false" outlineLevel="0" collapsed="false">
      <c r="A35" s="8" t="s">
        <v>198</v>
      </c>
      <c r="B35" s="4" t="s">
        <v>217</v>
      </c>
      <c r="C35" s="6" t="s">
        <v>218</v>
      </c>
      <c r="D35" s="4"/>
    </row>
    <row r="36" customFormat="false" ht="15" hidden="false" customHeight="false" outlineLevel="0" collapsed="false">
      <c r="A36" s="8" t="s">
        <v>198</v>
      </c>
      <c r="B36" s="4" t="s">
        <v>219</v>
      </c>
      <c r="C36" s="6" t="s">
        <v>216</v>
      </c>
      <c r="D36" s="4"/>
    </row>
    <row r="37" customFormat="false" ht="15" hidden="false" customHeight="false" outlineLevel="0" collapsed="false">
      <c r="A37" s="8" t="s">
        <v>198</v>
      </c>
      <c r="B37" s="4" t="s">
        <v>220</v>
      </c>
      <c r="C37" s="6" t="s">
        <v>216</v>
      </c>
      <c r="D37" s="4"/>
    </row>
    <row r="38" customFormat="false" ht="15" hidden="false" customHeight="false" outlineLevel="0" collapsed="false">
      <c r="A38" s="8" t="s">
        <v>198</v>
      </c>
      <c r="B38" s="4" t="s">
        <v>221</v>
      </c>
      <c r="C38" s="6" t="s">
        <v>208</v>
      </c>
      <c r="D38" s="4"/>
    </row>
    <row r="39" customFormat="false" ht="29.85" hidden="false" customHeight="false" outlineLevel="0" collapsed="false">
      <c r="A39" s="8" t="s">
        <v>198</v>
      </c>
      <c r="B39" s="4" t="s">
        <v>222</v>
      </c>
      <c r="C39" s="4" t="s">
        <v>223</v>
      </c>
      <c r="D39" s="4"/>
    </row>
    <row r="40" customFormat="false" ht="15" hidden="false" customHeight="false" outlineLevel="0" collapsed="false">
      <c r="A40" s="8" t="s">
        <v>224</v>
      </c>
      <c r="B40" s="4" t="s">
        <v>225</v>
      </c>
      <c r="C40" s="6" t="s">
        <v>212</v>
      </c>
      <c r="D40" s="4"/>
    </row>
    <row r="41" customFormat="false" ht="15" hidden="false" customHeight="false" outlineLevel="0" collapsed="false">
      <c r="A41" s="8" t="s">
        <v>224</v>
      </c>
      <c r="B41" s="4" t="s">
        <v>226</v>
      </c>
      <c r="C41" s="6" t="s">
        <v>227</v>
      </c>
      <c r="D41" s="4"/>
    </row>
    <row r="42" customFormat="false" ht="15" hidden="false" customHeight="false" outlineLevel="0" collapsed="false">
      <c r="A42" s="8" t="s">
        <v>224</v>
      </c>
      <c r="B42" s="4" t="s">
        <v>228</v>
      </c>
      <c r="C42" s="6" t="s">
        <v>229</v>
      </c>
      <c r="D42" s="4"/>
    </row>
    <row r="43" customFormat="false" ht="15" hidden="false" customHeight="false" outlineLevel="0" collapsed="false">
      <c r="A43" s="8" t="s">
        <v>224</v>
      </c>
      <c r="B43" s="4" t="s">
        <v>230</v>
      </c>
      <c r="C43" s="6" t="s">
        <v>212</v>
      </c>
      <c r="D43" s="4"/>
    </row>
    <row r="44" customFormat="false" ht="15" hidden="false" customHeight="false" outlineLevel="0" collapsed="false">
      <c r="A44" s="8" t="s">
        <v>231</v>
      </c>
      <c r="B44" s="4" t="s">
        <v>232</v>
      </c>
      <c r="C44" s="6" t="s">
        <v>233</v>
      </c>
      <c r="D44" s="4"/>
    </row>
    <row r="45" customFormat="false" ht="15" hidden="false" customHeight="false" outlineLevel="0" collapsed="false">
      <c r="A45" s="8" t="s">
        <v>231</v>
      </c>
      <c r="B45" s="4" t="s">
        <v>234</v>
      </c>
      <c r="C45" s="6" t="s">
        <v>235</v>
      </c>
      <c r="D45" s="4"/>
    </row>
    <row r="46" customFormat="false" ht="15" hidden="false" customHeight="false" outlineLevel="0" collapsed="false">
      <c r="A46" s="8" t="s">
        <v>231</v>
      </c>
      <c r="B46" s="4" t="s">
        <v>236</v>
      </c>
      <c r="C46" s="6" t="s">
        <v>190</v>
      </c>
      <c r="D46" s="4"/>
    </row>
    <row r="47" customFormat="false" ht="15" hidden="false" customHeight="false" outlineLevel="0" collapsed="false">
      <c r="A47" s="8" t="s">
        <v>231</v>
      </c>
      <c r="B47" s="4" t="s">
        <v>237</v>
      </c>
      <c r="C47" s="6" t="s">
        <v>238</v>
      </c>
      <c r="D47" s="4"/>
    </row>
    <row r="48" customFormat="false" ht="15" hidden="false" customHeight="false" outlineLevel="0" collapsed="false">
      <c r="A48" s="8" t="s">
        <v>239</v>
      </c>
      <c r="B48" s="4" t="s">
        <v>240</v>
      </c>
      <c r="C48" s="6" t="s">
        <v>178</v>
      </c>
      <c r="D48" s="4"/>
    </row>
    <row r="49" customFormat="false" ht="15" hidden="false" customHeight="false" outlineLevel="0" collapsed="false">
      <c r="A49" s="8" t="s">
        <v>239</v>
      </c>
      <c r="B49" s="4" t="s">
        <v>241</v>
      </c>
      <c r="C49" s="6" t="s">
        <v>242</v>
      </c>
      <c r="D49" s="4"/>
    </row>
    <row r="50" customFormat="false" ht="15" hidden="false" customHeight="false" outlineLevel="0" collapsed="false">
      <c r="A50" s="8" t="s">
        <v>239</v>
      </c>
      <c r="B50" s="4" t="s">
        <v>243</v>
      </c>
      <c r="C50" s="6" t="s">
        <v>238</v>
      </c>
      <c r="D50" s="4"/>
    </row>
    <row r="51" customFormat="false" ht="26.85" hidden="false" customHeight="false" outlineLevel="0" collapsed="false">
      <c r="A51" s="8" t="s">
        <v>244</v>
      </c>
      <c r="B51" s="4" t="s">
        <v>245</v>
      </c>
      <c r="C51" s="4" t="s">
        <v>246</v>
      </c>
      <c r="D51" s="4"/>
    </row>
    <row r="52" customFormat="false" ht="15" hidden="false" customHeight="false" outlineLevel="0" collapsed="false">
      <c r="A52" s="8" t="s">
        <v>244</v>
      </c>
      <c r="B52" s="4" t="s">
        <v>247</v>
      </c>
      <c r="C52" s="4" t="s">
        <v>223</v>
      </c>
      <c r="D52" s="4"/>
    </row>
    <row r="53" customFormat="false" ht="15" hidden="false" customHeight="false" outlineLevel="0" collapsed="false">
      <c r="A53" s="8" t="s">
        <v>244</v>
      </c>
      <c r="B53" s="4" t="s">
        <v>248</v>
      </c>
      <c r="C53" s="6" t="s">
        <v>187</v>
      </c>
      <c r="D53" s="4"/>
    </row>
    <row r="54" customFormat="false" ht="15" hidden="false" customHeight="false" outlineLevel="0" collapsed="false">
      <c r="A54" s="8" t="s">
        <v>244</v>
      </c>
      <c r="B54" s="4" t="s">
        <v>249</v>
      </c>
      <c r="C54" s="6" t="s">
        <v>250</v>
      </c>
      <c r="D54" s="4"/>
    </row>
    <row r="55" customFormat="false" ht="15" hidden="false" customHeight="false" outlineLevel="0" collapsed="false">
      <c r="A55" s="8" t="s">
        <v>244</v>
      </c>
      <c r="B55" s="4" t="s">
        <v>251</v>
      </c>
      <c r="C55" s="4" t="s">
        <v>223</v>
      </c>
      <c r="D55" s="4"/>
    </row>
    <row r="56" customFormat="false" ht="15" hidden="false" customHeight="false" outlineLevel="0" collapsed="false">
      <c r="A56" s="8" t="s">
        <v>244</v>
      </c>
      <c r="B56" s="4" t="s">
        <v>252</v>
      </c>
      <c r="C56" s="4" t="s">
        <v>223</v>
      </c>
      <c r="D56" s="4"/>
    </row>
  </sheetData>
  <autoFilter ref="A4:D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8.65" hidden="false" customHeight="false" outlineLevel="0" collapsed="false">
      <c r="A1" s="1" t="s">
        <v>253</v>
      </c>
    </row>
    <row r="3" customFormat="false" ht="15" hidden="false" customHeight="false" outlineLevel="0" collapsed="false">
      <c r="A3" s="23" t="s">
        <v>254</v>
      </c>
      <c r="B3" s="24"/>
    </row>
    <row r="4" customFormat="false" ht="15" hidden="false" customHeight="false" outlineLevel="0" collapsed="false">
      <c r="A4" s="25" t="n">
        <v>1</v>
      </c>
      <c r="B4" s="26" t="s">
        <v>255</v>
      </c>
    </row>
    <row r="5" customFormat="false" ht="15" hidden="false" customHeight="false" outlineLevel="0" collapsed="false">
      <c r="A5" s="25" t="n">
        <v>2</v>
      </c>
      <c r="B5" s="26" t="s">
        <v>256</v>
      </c>
    </row>
    <row r="6" customFormat="false" ht="15" hidden="false" customHeight="false" outlineLevel="0" collapsed="false">
      <c r="A6" s="25" t="n">
        <v>3</v>
      </c>
      <c r="B6" s="26" t="s">
        <v>257</v>
      </c>
    </row>
    <row r="7" customFormat="false" ht="15" hidden="false" customHeight="false" outlineLevel="0" collapsed="false">
      <c r="A7" s="25" t="n">
        <v>4</v>
      </c>
      <c r="B7" s="26" t="s">
        <v>258</v>
      </c>
    </row>
    <row r="8" customFormat="false" ht="15" hidden="false" customHeight="false" outlineLevel="0" collapsed="false">
      <c r="A8" s="25" t="n">
        <v>5</v>
      </c>
      <c r="B8" s="26" t="s">
        <v>259</v>
      </c>
    </row>
    <row r="9" customFormat="false" ht="15" hidden="false" customHeight="false" outlineLevel="0" collapsed="false">
      <c r="A9" s="25" t="n">
        <v>6</v>
      </c>
      <c r="B9" s="26" t="s">
        <v>260</v>
      </c>
    </row>
    <row r="11" customFormat="false" ht="15" hidden="false" customHeight="false" outlineLevel="0" collapsed="false">
      <c r="A11" s="23" t="s">
        <v>261</v>
      </c>
      <c r="B11" s="24"/>
    </row>
    <row r="12" customFormat="false" ht="29.85" hidden="false" customHeight="false" outlineLevel="0" collapsed="false">
      <c r="A12" s="25" t="n">
        <v>1</v>
      </c>
      <c r="B12" s="26" t="s">
        <v>262</v>
      </c>
    </row>
    <row r="13" customFormat="false" ht="29.85" hidden="false" customHeight="false" outlineLevel="0" collapsed="false">
      <c r="A13" s="25" t="n">
        <v>2</v>
      </c>
      <c r="B13" s="26" t="s">
        <v>263</v>
      </c>
    </row>
    <row r="14" customFormat="false" ht="29.85" hidden="false" customHeight="false" outlineLevel="0" collapsed="false">
      <c r="A14" s="25" t="n">
        <v>3</v>
      </c>
      <c r="B14" s="26" t="s">
        <v>264</v>
      </c>
    </row>
    <row r="15" customFormat="false" ht="29.85" hidden="false" customHeight="false" outlineLevel="0" collapsed="false">
      <c r="A15" s="25" t="n">
        <v>4</v>
      </c>
      <c r="B15" s="26" t="s">
        <v>265</v>
      </c>
    </row>
    <row r="16" customFormat="false" ht="29.85" hidden="false" customHeight="false" outlineLevel="0" collapsed="false">
      <c r="A16" s="25" t="n">
        <v>5</v>
      </c>
      <c r="B16" s="26" t="s">
        <v>266</v>
      </c>
    </row>
    <row r="18" customFormat="false" ht="15" hidden="false" customHeight="false" outlineLevel="0" collapsed="false">
      <c r="A18" s="23" t="s">
        <v>267</v>
      </c>
      <c r="B18" s="24"/>
    </row>
    <row r="19" customFormat="false" ht="15" hidden="false" customHeight="false" outlineLevel="0" collapsed="false">
      <c r="A19" s="25" t="n">
        <v>1</v>
      </c>
      <c r="B19" s="26" t="s">
        <v>268</v>
      </c>
    </row>
    <row r="20" customFormat="false" ht="15" hidden="false" customHeight="false" outlineLevel="0" collapsed="false">
      <c r="A20" s="25" t="n">
        <v>2</v>
      </c>
      <c r="B20" s="26" t="s">
        <v>269</v>
      </c>
    </row>
    <row r="21" customFormat="false" ht="29.85" hidden="false" customHeight="false" outlineLevel="0" collapsed="false">
      <c r="A21" s="25" t="n">
        <v>3</v>
      </c>
      <c r="B21" s="26" t="s">
        <v>270</v>
      </c>
    </row>
    <row r="22" customFormat="false" ht="29.85" hidden="false" customHeight="false" outlineLevel="0" collapsed="false">
      <c r="A22" s="25" t="n">
        <v>4</v>
      </c>
      <c r="B22" s="26" t="s">
        <v>271</v>
      </c>
    </row>
    <row r="23" customFormat="false" ht="29.85" hidden="false" customHeight="false" outlineLevel="0" collapsed="false">
      <c r="A23" s="25" t="n">
        <v>5</v>
      </c>
      <c r="B23" s="26" t="s">
        <v>272</v>
      </c>
    </row>
    <row r="24" customFormat="false" ht="15" hidden="false" customHeight="false" outlineLevel="0" collapsed="false">
      <c r="A24" s="25" t="n">
        <v>6</v>
      </c>
      <c r="B24" s="26" t="s">
        <v>273</v>
      </c>
    </row>
    <row r="26" customFormat="false" ht="15" hidden="false" customHeight="false" outlineLevel="0" collapsed="false">
      <c r="A26" s="23" t="s">
        <v>274</v>
      </c>
      <c r="B26" s="24"/>
    </row>
    <row r="27" customFormat="false" ht="44" hidden="false" customHeight="false" outlineLevel="0" collapsed="false">
      <c r="A27" s="25" t="n">
        <v>1</v>
      </c>
      <c r="B27" s="2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2026-10-07T02:36:48Z</dcterms:created>
  <dc:creator>openpyxl</dc:creator>
  <dc:description/>
  <dc:language>en-US</dc:language>
  <cp:lastModifiedBy/>
  <dcterms:modified xsi:type="dcterms:W3CDTF">2026-10-07T02:36:48Z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