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y Target" sheetId="1" state="visible" r:id="rId3"/>
    <sheet name="Meal Plan" sheetId="2" state="visible" r:id="rId4"/>
    <sheet name="Weekly Snapshot" sheetId="3" state="visible" r:id="rId5"/>
    <sheet name="Grocery List" sheetId="4" state="visible" r:id="rId6"/>
    <sheet name="Swaps &amp; Tips" sheetId="5" state="visible" r:id="rId7"/>
  </sheets>
  <definedNames>
    <definedName function="false" hidden="true" localSheetId="3" name="_xlnm._FilterDatabase" vbProcedure="false">'Grocery List'!$A$4:$D$56</definedName>
    <definedName function="false" hidden="true" localSheetId="1" name="_xlnm._FilterDatabase" vbProcedure="false">'Meal Plan'!$A$4:$G$39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<sst xmlns="http://schemas.openxmlformats.org/spreadsheetml/2006/main" count="415" uniqueCount="271">
  <si>
    <t xml:space="preserve">Daily Energy Target (Mifflin-St Jeor)</t>
  </si>
  <si>
    <t xml:space="preserve">Yellow cells = inputs. Maathina, ellaa numbers-um auto-va update aagum.</t>
  </si>
  <si>
    <t xml:space="preserve">Item</t>
  </si>
  <si>
    <t xml:space="preserve">Value</t>
  </si>
  <si>
    <t xml:space="preserve">Note</t>
  </si>
  <si>
    <t xml:space="preserve">Age (years)</t>
  </si>
  <si>
    <t xml:space="preserve">User profile-la irundhu</t>
  </si>
  <si>
    <t xml:space="preserve">Height (cm)</t>
  </si>
  <si>
    <t xml:space="preserve">"5.1" ah 5 ft 1 in ≈ 155 cm nu eduthukitten (assumption)</t>
  </si>
  <si>
    <t xml:space="preserve">Current weight (kg)</t>
  </si>
  <si>
    <t xml:space="preserve">Goal weight (kg)</t>
  </si>
  <si>
    <t xml:space="preserve">Activity factor</t>
  </si>
  <si>
    <t xml:space="preserve">Sedentary = 1.2 (Lightly 1.375, Moderately 1.55, Very 1.725)</t>
  </si>
  <si>
    <t xml:space="preserve">Calorie deficit (kcal/day)</t>
  </si>
  <si>
    <t xml:space="preserve">Moderate deficit, 300–500 range-kulla</t>
  </si>
  <si>
    <t xml:space="preserve">Protein (g per kg goal weight)</t>
  </si>
  <si>
    <t xml:space="preserve">Recommended range 1.0–1.2</t>
  </si>
  <si>
    <t xml:space="preserve">Minimum calorie floor (women)</t>
  </si>
  <si>
    <t xml:space="preserve">Idhukku keezha poga koodaadhu</t>
  </si>
  <si>
    <t xml:space="preserve">BMR (kcal/day)</t>
  </si>
  <si>
    <t xml:space="preserve">10×weight + 6.25×height − 5×age − 161</t>
  </si>
  <si>
    <t xml:space="preserve">TDEE / maintenance (kcal/day)</t>
  </si>
  <si>
    <t xml:space="preserve">BMR × activity factor</t>
  </si>
  <si>
    <t xml:space="preserve">Daily calorie target (kcal/day)</t>
  </si>
  <si>
    <t xml:space="preserve">TDEE − deficit, rounded, floor-ku mela</t>
  </si>
  <si>
    <t xml:space="preserve">Daily protein target (g)</t>
  </si>
  <si>
    <t xml:space="preserve">Goal weight × g/kg</t>
  </si>
  <si>
    <t xml:space="preserve">Expected loss (kg/week)</t>
  </si>
  <si>
    <t xml:space="preserve">1 kg fat ≈ 7,700 kcal</t>
  </si>
  <si>
    <t xml:space="preserve">BMI (current)</t>
  </si>
  <si>
    <t xml:space="preserve">Weight ÷ height² (m)</t>
  </si>
  <si>
    <t xml:space="preserve">7-Day Tamil Nadu Lacto-Vegetarian Meal Plan (~1,400 kcal)</t>
  </si>
  <si>
    <t xml:space="preserve">kcal &amp; protein = approximate estimates. Oil ~1 tsp per meal (3–4 tsp/day). Day total rows auto-sum.</t>
  </si>
  <si>
    <t xml:space="preserve">Day</t>
  </si>
  <si>
    <t xml:space="preserve">Meal</t>
  </si>
  <si>
    <t xml:space="preserve">Dish</t>
  </si>
  <si>
    <t xml:space="preserve">Portion (household measure)</t>
  </si>
  <si>
    <t xml:space="preserve">Approx. quantity (g/ml)</t>
  </si>
  <si>
    <t xml:space="preserve">Approx. kcal</t>
  </si>
  <si>
    <t xml:space="preserve">Protein (g)</t>
  </si>
  <si>
    <t xml:space="preserve">Day 1 (Mon)</t>
  </si>
  <si>
    <t xml:space="preserve">Breakfast</t>
  </si>
  <si>
    <t xml:space="preserve">Ragi dosai + thakkali chutney + sambar + filter coffee</t>
  </si>
  <si>
    <t xml:space="preserve">2 medium dosai (½ tsp oil each), 2 tbsp chutney, 1 katori sambar, 1 tumbler coffee</t>
  </si>
  <si>
    <t xml:space="preserve">120 g dosai, 30 g chutney, 150 ml sambar, 100 ml coffee</t>
  </si>
  <si>
    <t xml:space="preserve">Lunch (tiffin)</t>
  </si>
  <si>
    <t xml:space="preserve">Mulai keerai kootu + red rice + beans poriyal + thayir</t>
  </si>
  <si>
    <t xml:space="preserve">1 cup kootu, ½ cup sivappu arisi sadam, ½ cup poriyal, 1 katori thayir</t>
  </si>
  <si>
    <t xml:space="preserve">200 g kootu, 75 g rice, 75 g poriyal, 150 g curd</t>
  </si>
  <si>
    <t xml:space="preserve">Evening Snack</t>
  </si>
  <si>
    <t xml:space="preserve">Kondakadalai sundal + koyyapazham</t>
  </si>
  <si>
    <t xml:space="preserve">½ cup sundal, 1 medium guava</t>
  </si>
  <si>
    <t xml:space="preserve">80 g sundal, 150 g guava</t>
  </si>
  <si>
    <t xml:space="preserve">Dinner</t>
  </si>
  <si>
    <t xml:space="preserve">Chapathi + paneer pattani kurma + vellarikkai salad</t>
  </si>
  <si>
    <t xml:space="preserve">2 chapathi (ghee illama), ½ cup kurma, 1 small plate salad</t>
  </si>
  <si>
    <t xml:space="preserve">60 g atta, 60 g paneer in 150 ml kurma, 80 g cucumber</t>
  </si>
  <si>
    <t xml:space="preserve">Day total</t>
  </si>
  <si>
    <t xml:space="preserve">Day 2 (Tue)</t>
  </si>
  <si>
    <t xml:space="preserve">Pesarattu + inji chutney + filter coffee</t>
  </si>
  <si>
    <t xml:space="preserve">2 medium pesarattu, 2 tbsp chutney, 1 tumbler coffee</t>
  </si>
  <si>
    <t xml:space="preserve">160 g batter, 30 g chutney, 100 ml coffee</t>
  </si>
  <si>
    <t xml:space="preserve">Thinai sambar sadam + vellarikkai thayir pachadi + neer mor</t>
  </si>
  <si>
    <t xml:space="preserve">1½ cups sambar sadam, ½ cup pachadi, 1 glass mor</t>
  </si>
  <si>
    <t xml:space="preserve">300 g, 100 g, 200 ml</t>
  </si>
  <si>
    <t xml:space="preserve">Pachai payaru sundal + orange</t>
  </si>
  <si>
    <t xml:space="preserve">¾ cup sundal, 1 orange</t>
  </si>
  <si>
    <t xml:space="preserve">120 g, 130 g</t>
  </si>
  <si>
    <t xml:space="preserve">Murungai keerai adai + avial</t>
  </si>
  <si>
    <t xml:space="preserve">2 medium adai (1 tsp oil total), ½ cup avial</t>
  </si>
  <si>
    <t xml:space="preserve">180 g batter, 100 g avial</t>
  </si>
  <si>
    <t xml:space="preserve">Day 3 (Wed)</t>
  </si>
  <si>
    <t xml:space="preserve">Idli + sambar + pudina chutney + filter coffee</t>
  </si>
  <si>
    <t xml:space="preserve">3 medium idli, 1 katori sambar, 2 tbsp chutney, 1 tumbler coffee</t>
  </si>
  <si>
    <t xml:space="preserve">150 g idli, 150 ml sambar, 30 g chutney, 100 ml coffee</t>
  </si>
  <si>
    <t xml:space="preserve">Kambu sadam + kathirikai paruppu kootu + carrot poriyal + thayir</t>
  </si>
  <si>
    <t xml:space="preserve">½ cup kambu sadam, 1 cup kootu, ½ cup poriyal, ½ katori thayir</t>
  </si>
  <si>
    <t xml:space="preserve">80 g, 200 g, 75 g, 100 g</t>
  </si>
  <si>
    <t xml:space="preserve">Verkadalai (boiled peanut) sundal + papaya</t>
  </si>
  <si>
    <t xml:space="preserve">⅓ cup sundal, 1 cup papaya pieces</t>
  </si>
  <si>
    <t xml:space="preserve">50 g, 150 g</t>
  </si>
  <si>
    <t xml:space="preserve">Chapathi + keerai paneer (palak paneer) + vengaya salad</t>
  </si>
  <si>
    <t xml:space="preserve">2 chapathi, ½ cup keerai paneer, small plate salad</t>
  </si>
  <si>
    <t xml:space="preserve">60 g atta, 75 g paneer + 100 g palak, 60 g salad</t>
  </si>
  <si>
    <t xml:space="preserve">Day 4 (Thu)</t>
  </si>
  <si>
    <t xml:space="preserve">Samai pongal + thakkali chutney + sambar + filter coffee</t>
  </si>
  <si>
    <t xml:space="preserve">¾ cup pongal (½ tsp ghee), 2 tbsp chutney, ½ katori sambar, 1 tumbler coffee</t>
  </si>
  <si>
    <t xml:space="preserve">180 g pongal, 30 g chutney, 75 ml sambar, 100 ml coffee</t>
  </si>
  <si>
    <t xml:space="preserve">Thakkali paruppu + red rice + kovakkai poriyal + thayir</t>
  </si>
  <si>
    <t xml:space="preserve">1 big katori paruppu, ½ cup sadam, ½ cup poriyal, 1 katori thayir</t>
  </si>
  <si>
    <t xml:space="preserve">200 ml, 75 g, 75 g, 150 g</t>
  </si>
  <si>
    <t xml:space="preserve">Karamani sundal + apple</t>
  </si>
  <si>
    <t xml:space="preserve">½ cup sundal, 1 small apple</t>
  </si>
  <si>
    <t xml:space="preserve">80 g, 130 g</t>
  </si>
  <si>
    <t xml:space="preserve">Ragi idiyappam + paneer kaai kurma + murungai keerai poriyal</t>
  </si>
  <si>
    <t xml:space="preserve">2 idiyappam, 1 katori kurma, ¼ cup poriyal</t>
  </si>
  <si>
    <t xml:space="preserve">80 g, 75 g paneer in 150 ml kurma, 50 g poriyal</t>
  </si>
  <si>
    <t xml:space="preserve">Day 5 (Fri)</t>
  </si>
  <si>
    <t xml:space="preserve">Kuzhi paniyaram (veg) + sambar + filter coffee</t>
  </si>
  <si>
    <t xml:space="preserve">5 small paniyaram (1 tsp oil), 1 katori sambar, 1 tumbler coffee</t>
  </si>
  <si>
    <t xml:space="preserve">125 g, 150 ml, 100 ml</t>
  </si>
  <si>
    <t xml:space="preserve">Varagu thayir sadam with vellarikkai + pasi paruppu kosambari + beetroot-carrot salad</t>
  </si>
  <si>
    <t xml:space="preserve">1½ cups thayir sadam, ½ cup kosambari, ½ cup salad</t>
  </si>
  <si>
    <t xml:space="preserve">300 g (200 g curd ulla), 60 g, 80 g</t>
  </si>
  <si>
    <t xml:space="preserve">Mulai kattiya payaru salad + pottukadalai + papaya</t>
  </si>
  <si>
    <t xml:space="preserve">1 cup sprouts, 1 tbsp pottukadalai, 1 cup papaya</t>
  </si>
  <si>
    <t xml:space="preserve">100 g, 15 g, 150 g</t>
  </si>
  <si>
    <t xml:space="preserve">Chapathi + pasi payaru kuzhambu + vengaya-vellarikkai salad</t>
  </si>
  <si>
    <t xml:space="preserve">2 chapathi, 1 big katori kuzhambu, small plate salad</t>
  </si>
  <si>
    <t xml:space="preserve">60 g atta, 200 ml, 60 g</t>
  </si>
  <si>
    <t xml:space="preserve">Day 6 (Sat)</t>
  </si>
  <si>
    <t xml:space="preserve">Thinai vegetable upma + thengai-pottukadalai chutney + filter coffee</t>
  </si>
  <si>
    <t xml:space="preserve">¾ cup upma, 2 tbsp chutney, 1 tumbler coffee</t>
  </si>
  <si>
    <t xml:space="preserve">150 g, 30 g, 100 ml</t>
  </si>
  <si>
    <t xml:space="preserve">Lunch (home)</t>
  </si>
  <si>
    <t xml:space="preserve">Murungakkai sambar + red rice + avial + rasam + thayir</t>
  </si>
  <si>
    <t xml:space="preserve">1 big katori sambar, ½ cup sadam, ½ cup avial, 1 small katori rasam, ½ katori thayir</t>
  </si>
  <si>
    <t xml:space="preserve">200 ml, 75 g, 100 g, 100 ml, 100 g</t>
  </si>
  <si>
    <t xml:space="preserve">Verkadalai sundal + masala mor</t>
  </si>
  <si>
    <t xml:space="preserve">⅓ cup sundal, 1 glass mor</t>
  </si>
  <si>
    <t xml:space="preserve">50 g, 200 ml</t>
  </si>
  <si>
    <t xml:space="preserve">Godhumai dosai + Chettinad paneer masala</t>
  </si>
  <si>
    <t xml:space="preserve">2 dosai (1 tsp oil total), ½ cup masala</t>
  </si>
  <si>
    <t xml:space="preserve">70 g atta, 75 g paneer in 120 ml gravy</t>
  </si>
  <si>
    <t xml:space="preserve">Day 7 (Sun)</t>
  </si>
  <si>
    <t xml:space="preserve">Idli + medu vadai (WEEKLY TREAT, 1 small) + sambar + thengai chutney + filter coffee</t>
  </si>
  <si>
    <t xml:space="preserve">3 medium idli, 1 small vadai, 1 katori sambar, 2 tbsp chutney, 1 tumbler coffee</t>
  </si>
  <si>
    <t xml:space="preserve">150 g, 40 g, 150 ml, 30 g, 100 ml</t>
  </si>
  <si>
    <t xml:space="preserve">Mor kuzhambu + red rice + beans paruppu usili + pasalai keerai poriyal + rasam</t>
  </si>
  <si>
    <t xml:space="preserve">1 katori kuzhambu, ½ cup sadam, ½ cup usili, ¼ cup poriyal, 1 small katori rasam</t>
  </si>
  <si>
    <t xml:space="preserve">150 ml, 75 g, 100 g, 50 g, 100 ml</t>
  </si>
  <si>
    <t xml:space="preserve">Pasi paruppu vegetable kichadi + vellarikkai raita</t>
  </si>
  <si>
    <t xml:space="preserve">1 cup kichadi, ½ cup raita</t>
  </si>
  <si>
    <t xml:space="preserve">200 g, 100 g</t>
  </si>
  <si>
    <t xml:space="preserve">Weekly average / day</t>
  </si>
  <si>
    <t xml:space="preserve">Target (from Energy Target)</t>
  </si>
  <si>
    <t xml:space="preserve">Blue numbers = estimates you can edit; day totals &amp; averages recalculate automatically.</t>
  </si>
  <si>
    <t xml:space="preserve">Weekly Snapshot</t>
  </si>
  <si>
    <t xml:space="preserve">Totals Meal Plan sheet-la irundhu link aagudhu (green).</t>
  </si>
  <si>
    <t xml:space="preserve">Total kcal</t>
  </si>
  <si>
    <t xml:space="preserve">Total protein (g)</t>
  </si>
  <si>
    <t xml:space="preserve">vs kcal target</t>
  </si>
  <si>
    <t xml:space="preserve">Millet/whole-grain used</t>
  </si>
  <si>
    <t xml:space="preserve">Greens/vegetables used</t>
  </si>
  <si>
    <t xml:space="preserve">Ragi, red rice, wheat</t>
  </si>
  <si>
    <t xml:space="preserve">Mulai keerai, beans, cucumber, peas</t>
  </si>
  <si>
    <t xml:space="preserve">Thinai</t>
  </si>
  <si>
    <t xml:space="preserve">Murungai keerai, avial kaai, cucumber</t>
  </si>
  <si>
    <t xml:space="preserve">Kambu, wheat</t>
  </si>
  <si>
    <t xml:space="preserve">Palak, kathirikai, carrot</t>
  </si>
  <si>
    <t xml:space="preserve">Samai, ragi, red rice</t>
  </si>
  <si>
    <t xml:space="preserve">Murungai keerai, kovakkai, tomato</t>
  </si>
  <si>
    <t xml:space="preserve">Varagu, wheat</t>
  </si>
  <si>
    <t xml:space="preserve">Beetroot, carrot, cucumber</t>
  </si>
  <si>
    <t xml:space="preserve">Thinai, red rice</t>
  </si>
  <si>
    <t xml:space="preserve">Murungakkai, avial kaai</t>
  </si>
  <si>
    <t xml:space="preserve">Red rice</t>
  </si>
  <si>
    <t xml:space="preserve">Pasalai keerai, beans, cucumber</t>
  </si>
  <si>
    <t xml:space="preserve">Average</t>
  </si>
  <si>
    <t xml:space="preserve">Note: Protein sarasari ~60 g, target 65 g-ku konjam kammi. Daily 1 extra katori thayir illa 1 glass mor serthaa (~50 kcal) target reach aagum.</t>
  </si>
  <si>
    <t xml:space="preserve">Grocery List for the Week (1 person)</t>
  </si>
  <si>
    <t xml:space="preserve">Bought? column-la ✓ podunga.</t>
  </si>
  <si>
    <t xml:space="preserve">Category</t>
  </si>
  <si>
    <t xml:space="preserve">Approx. quantity</t>
  </si>
  <si>
    <t xml:space="preserve">Bought?</t>
  </si>
  <si>
    <t xml:space="preserve">Grains &amp; Millets</t>
  </si>
  <si>
    <t xml:space="preserve">Ragi flour</t>
  </si>
  <si>
    <t xml:space="preserve">250 g</t>
  </si>
  <si>
    <t xml:space="preserve">Thinai (foxtail millet)</t>
  </si>
  <si>
    <t xml:space="preserve">400 g</t>
  </si>
  <si>
    <t xml:space="preserve">Kambu (bajra)</t>
  </si>
  <si>
    <t xml:space="preserve">150 g</t>
  </si>
  <si>
    <t xml:space="preserve">Samai (little millet)</t>
  </si>
  <si>
    <t xml:space="preserve">200 g</t>
  </si>
  <si>
    <t xml:space="preserve">Varagu (kodo millet)</t>
  </si>
  <si>
    <t xml:space="preserve">Sivappu arisi (red rice)</t>
  </si>
  <si>
    <t xml:space="preserve">500 g</t>
  </si>
  <si>
    <t xml:space="preserve">Idli/dosai batter (or idli arisi 400 g + ulundhu 100 g)</t>
  </si>
  <si>
    <t xml:space="preserve">1 kg</t>
  </si>
  <si>
    <t xml:space="preserve">Wheat atta</t>
  </si>
  <si>
    <t xml:space="preserve">Puzhungal arisi (for adai)</t>
  </si>
  <si>
    <t xml:space="preserve">100 g</t>
  </si>
  <si>
    <t xml:space="preserve">Pulses &amp; Dals</t>
  </si>
  <si>
    <t xml:space="preserve">Thuvaram paruppu</t>
  </si>
  <si>
    <t xml:space="preserve">300 g</t>
  </si>
  <si>
    <t xml:space="preserve">Pasi paruppu</t>
  </si>
  <si>
    <t xml:space="preserve">Pachai payaru (whole moong)</t>
  </si>
  <si>
    <t xml:space="preserve">Kondakadalai</t>
  </si>
  <si>
    <t xml:space="preserve">Karamani</t>
  </si>
  <si>
    <t xml:space="preserve">Kadalai paruppu</t>
  </si>
  <si>
    <t xml:space="preserve">Ulundhu</t>
  </si>
  <si>
    <t xml:space="preserve">Pottukadalai</t>
  </si>
  <si>
    <t xml:space="preserve">Vegetables &amp; Greens</t>
  </si>
  <si>
    <t xml:space="preserve">Thakkali</t>
  </si>
  <si>
    <t xml:space="preserve">1.5 kg</t>
  </si>
  <si>
    <t xml:space="preserve">Vengayam</t>
  </si>
  <si>
    <t xml:space="preserve">Carrot</t>
  </si>
  <si>
    <t xml:space="preserve">Beans</t>
  </si>
  <si>
    <t xml:space="preserve">Kathirikai</t>
  </si>
  <si>
    <t xml:space="preserve">Kovakkai</t>
  </si>
  <si>
    <t xml:space="preserve">Beetroot</t>
  </si>
  <si>
    <t xml:space="preserve">Vellarikkai</t>
  </si>
  <si>
    <t xml:space="preserve">4 nos</t>
  </si>
  <si>
    <t xml:space="preserve">Murungakkai</t>
  </si>
  <si>
    <t xml:space="preserve">3 nos</t>
  </si>
  <si>
    <t xml:space="preserve">Capsicum</t>
  </si>
  <si>
    <t xml:space="preserve">1 no</t>
  </si>
  <si>
    <t xml:space="preserve">Pachai pattani</t>
  </si>
  <si>
    <t xml:space="preserve">Avial veg (chow chow / poosanikkai / carrot)</t>
  </si>
  <si>
    <t xml:space="preserve">Mulai keerai</t>
  </si>
  <si>
    <t xml:space="preserve">1 kattu</t>
  </si>
  <si>
    <t xml:space="preserve">Murungai keerai</t>
  </si>
  <si>
    <t xml:space="preserve">2 kattu</t>
  </si>
  <si>
    <t xml:space="preserve">Palak</t>
  </si>
  <si>
    <t xml:space="preserve">Pasalai keerai</t>
  </si>
  <si>
    <t xml:space="preserve">Elumichai</t>
  </si>
  <si>
    <t xml:space="preserve">Inji, poondu, pachai milagai, karuveppilai, kothamalli, pudina</t>
  </si>
  <si>
    <t xml:space="preserve">As needed</t>
  </si>
  <si>
    <t xml:space="preserve">Fruits</t>
  </si>
  <si>
    <t xml:space="preserve">Koyyapazham (guava)</t>
  </si>
  <si>
    <t xml:space="preserve">1</t>
  </si>
  <si>
    <t xml:space="preserve">Orange</t>
  </si>
  <si>
    <t xml:space="preserve">2</t>
  </si>
  <si>
    <t xml:space="preserve">Papaya</t>
  </si>
  <si>
    <t xml:space="preserve">1 small</t>
  </si>
  <si>
    <t xml:space="preserve">Apple</t>
  </si>
  <si>
    <t xml:space="preserve">Dairy</t>
  </si>
  <si>
    <t xml:space="preserve">Toned milk</t>
  </si>
  <si>
    <t xml:space="preserve">1.5 L</t>
  </si>
  <si>
    <t xml:space="preserve">Thayir (curd)</t>
  </si>
  <si>
    <t xml:space="preserve">~1.2 kg</t>
  </si>
  <si>
    <t xml:space="preserve">Paneer</t>
  </si>
  <si>
    <t xml:space="preserve">Nei (ghee)</t>
  </si>
  <si>
    <t xml:space="preserve">50 g</t>
  </si>
  <si>
    <t xml:space="preserve">Nuts &amp; Seeds</t>
  </si>
  <si>
    <t xml:space="preserve">Verkadalai (raw peanuts)</t>
  </si>
  <si>
    <t xml:space="preserve">Thengai (coconut)</t>
  </si>
  <si>
    <t xml:space="preserve">½ moodi</t>
  </si>
  <si>
    <t xml:space="preserve">Kadugu</t>
  </si>
  <si>
    <t xml:space="preserve">Spices &amp; Others</t>
  </si>
  <si>
    <t xml:space="preserve">Sambar podi, rasam podi, chettinad masala podi</t>
  </si>
  <si>
    <t xml:space="preserve">1 small pack each</t>
  </si>
  <si>
    <t xml:space="preserve">Manjal, seeragam, milagu, perungayam</t>
  </si>
  <si>
    <t xml:space="preserve">Puli (tamarind)</t>
  </si>
  <si>
    <t xml:space="preserve">Cold-pressed nallennai / kadalai ennai</t>
  </si>
  <si>
    <t xml:space="preserve">~150 ml</t>
  </si>
  <si>
    <t xml:space="preserve">Filter coffee powder</t>
  </si>
  <si>
    <t xml:space="preserve">Uppu</t>
  </si>
  <si>
    <t xml:space="preserve">Smart Swaps, Prep Ahead Tips &amp; Daily Habits</t>
  </si>
  <si>
    <t xml:space="preserve">Smart Swaps</t>
  </si>
  <si>
    <t xml:space="preserve">Thinai ↔ samai ↔ varagu: ellaam ore maadhiri samaikkalaam, ethu kidaikkudho adha use pannunga.</t>
  </si>
  <si>
    <t xml:space="preserve">Paneer ↔ hung curd (thick thayir): gravy-la kadaisila serunga, kodhikka vidaadheenga.</t>
  </si>
  <si>
    <t xml:space="preserve">Murungai keerai ↔ mulai keerai ↔ siru keerai: adai, poriyal, kootu ellaathukkum maathikkalaam.</t>
  </si>
  <si>
    <t xml:space="preserve">Kondakadalai ↔ karamani ↔ mochai: sundal-ku same alavu.</t>
  </si>
  <si>
    <t xml:space="preserve">Red rice ↔ kaikuthal arisi ↔ ½ ponni + ½ thinai: portion maathaama ½ cup thaan.</t>
  </si>
  <si>
    <t xml:space="preserve">Papaya ↔ guava ↔ orange: season-la ethu cheap-a irukko adhu.</t>
  </si>
  <si>
    <t xml:space="preserve">Prep Ahead Tips</t>
  </si>
  <si>
    <t xml:space="preserve">Sunday-yum Wednesday-yum idli/dosai batter araichi vachukonga. Ragi dosai-ku adhula ragi flour kalandhukalaam.</t>
  </si>
  <si>
    <t xml:space="preserve">Raathiri thoonga pora munnaadi adutha naal sundal-ku kondakadalai/karamani/pachai payaru oora vaiyunga. Pachai payaru-va 2 naal munnaadi oora vachaa sprouts ready aagidum.</t>
  </si>
  <si>
    <t xml:space="preserve">Sambar-um paruppu-vum 2 meal-ku sethu vaiyunga (breakfast sambar-a lunch-kum, kuzhambu-va dinner-kum). Fridge-la 2 naal varaikkum vachukalaam.</t>
  </si>
  <si>
    <t xml:space="preserve">Weekend-laye kaai-ellaam (beans, carrot, kovakkai, beetroot) narukki airtight box-la vachaa weekday poriyal 10 nimishathula mudinjidum.</t>
  </si>
  <si>
    <t xml:space="preserve">Thinai, varagu, samai-va kaalaila 20 nimisham oora vachaa seekiram vegum. Tiffin pack pannum podhu thayir sadam-la thayir-a koncham kadaisila serunga, pulikkaama irukkum.</t>
  </si>
  <si>
    <t xml:space="preserve">Daily Wellness Habits</t>
  </si>
  <si>
    <t xml:space="preserve">Thanneer: naalaikku 2.5–3 L. Saapadukku munnaadi 1 glass, mor-um count aagum.</t>
  </si>
  <si>
    <t xml:space="preserve">Thookkam: 7–8 mani neram, oru fixed time-la thoongi ezhunga.</t>
  </si>
  <si>
    <t xml:space="preserve">Nadai: saapitta piragu 10–15 nimisham nadakkunga. Mudhal 2 vaaram daily 4,000 steps, apparam medhuvaa 7,000–8,000 varaikkum ethunga.</t>
  </si>
  <si>
    <t xml:space="preserve">Mindful eating: chinna thattu/katori use pannunga. Mobile/TV illaama, mella menu saapidunga. 80% vayiru nirainjaa podhum.</t>
  </si>
  <si>
    <t xml:space="preserve">Coffee/tea: naalaikku maximum 2 tumbler, toned milk, sugar illama (illa ½ tsp kooda thaandaama). Biscuit side-la vendaam.</t>
  </si>
  <si>
    <t xml:space="preserve">Weekly check: vaaram oru thadava ore naal, ore time-la weight paarunga, daily paakka vendaam.</t>
  </si>
  <si>
    <t xml:space="preserve">Important Note</t>
  </si>
  <si>
    <t xml:space="preserve">Idhu general guidance mattum thaan, medical advice illa. Ungaloda BMI ~39.5 irukkaradhaala, aarambikkum munnaadi oru doctor kitta basic check-up (thyroid, sugar, BP, haemoglobin) pannunga. Unga udambukku etha maadhiri portion-a fine-tune panna oru registered dietitian-a consult pannunga.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</si>
</sst>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+#,##0;\-#,##0;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4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5C4A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EAF4EF"/>
        <bgColor rgb="FFFFFFFF"/>
      </patternFill>
    </fill>
    <fill>
      <patternFill patternType="solid">
        <fgColor rgb="FFFFF2CC"/>
        <bgColor rgb="FFEAF4EF"/>
      </patternFill>
    </fill>
    <fill>
      <patternFill patternType="solid">
        <fgColor rgb="FFFFFFFF"/>
        <bgColor rgb="FFEAF4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5C4A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4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40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155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v>95</v>
      </c>
      <c r="C7" s="4" t="s">
        <v>6</v>
      </c>
    </row>
    <row r="8" customFormat="false" ht="15" hidden="false" customHeight="false" outlineLevel="0" collapsed="false">
      <c r="A8" s="4" t="s">
        <v>10</v>
      </c>
      <c r="B8" s="5" t="n">
        <v>64</v>
      </c>
      <c r="C8" s="4" t="s">
        <v>6</v>
      </c>
    </row>
    <row r="9" customFormat="false" ht="15" hidden="false" customHeight="false" outlineLevel="0" collapsed="false">
      <c r="A9" s="4" t="s">
        <v>11</v>
      </c>
      <c r="B9" s="5" t="n">
        <v>1.2</v>
      </c>
      <c r="C9" s="4" t="s">
        <v>12</v>
      </c>
    </row>
    <row r="10" customFormat="false" ht="15" hidden="false" customHeight="false" outlineLevel="0" collapsed="false">
      <c r="A10" s="4" t="s">
        <v>13</v>
      </c>
      <c r="B10" s="5" t="n">
        <v>470</v>
      </c>
      <c r="C10" s="4" t="s">
        <v>14</v>
      </c>
    </row>
    <row r="11" customFormat="false" ht="15" hidden="false" customHeight="false" outlineLevel="0" collapsed="false">
      <c r="A11" s="4" t="s">
        <v>15</v>
      </c>
      <c r="B11" s="5" t="n">
        <v>1</v>
      </c>
      <c r="C11" s="4" t="s">
        <v>16</v>
      </c>
    </row>
    <row r="12" customFormat="false" ht="15" hidden="false" customHeight="false" outlineLevel="0" collapsed="false">
      <c r="A12" s="4" t="s">
        <v>17</v>
      </c>
      <c r="B12" s="5" t="n">
        <v>1200</v>
      </c>
      <c r="C12" s="4" t="s">
        <v>18</v>
      </c>
    </row>
    <row r="13" customFormat="false" ht="15" hidden="false" customHeight="false" outlineLevel="0" collapsed="false">
      <c r="A13" s="6" t="s">
        <v>19</v>
      </c>
      <c r="B13" s="6" t="n">
        <f aca="false">ROUND(10*B7+6.25*B6-5*B5-161,-1)</f>
        <v>1560</v>
      </c>
      <c r="C13" s="4" t="s">
        <v>20</v>
      </c>
    </row>
    <row r="14" customFormat="false" ht="15" hidden="false" customHeight="false" outlineLevel="0" collapsed="false">
      <c r="A14" s="6" t="s">
        <v>21</v>
      </c>
      <c r="B14" s="6" t="n">
        <f aca="false">ROUND(B13*B9,-1)</f>
        <v>1870</v>
      </c>
      <c r="C14" s="4" t="s">
        <v>22</v>
      </c>
    </row>
    <row r="15" customFormat="false" ht="15" hidden="false" customHeight="false" outlineLevel="0" collapsed="false">
      <c r="A15" s="6" t="s">
        <v>23</v>
      </c>
      <c r="B15" s="6" t="n">
        <f aca="false">MAX(ROUND(B14-B10,-2),B12)</f>
        <v>1400</v>
      </c>
      <c r="C15" s="4" t="s">
        <v>24</v>
      </c>
    </row>
    <row r="16" customFormat="false" ht="15" hidden="false" customHeight="false" outlineLevel="0" collapsed="false">
      <c r="A16" s="6" t="s">
        <v>25</v>
      </c>
      <c r="B16" s="6" t="n">
        <f aca="false">ROUND(B8*B11,0)</f>
        <v>64</v>
      </c>
      <c r="C16" s="4" t="s">
        <v>26</v>
      </c>
    </row>
    <row r="17" customFormat="false" ht="15" hidden="false" customHeight="false" outlineLevel="0" collapsed="false">
      <c r="A17" s="6" t="s">
        <v>27</v>
      </c>
      <c r="B17" s="6" t="n">
        <f aca="false">ROUND((B14-B15)*7/7700,2)</f>
        <v>0.43</v>
      </c>
      <c r="C17" s="4" t="s">
        <v>28</v>
      </c>
    </row>
    <row r="18" customFormat="false" ht="15" hidden="false" customHeight="false" outlineLevel="0" collapsed="false">
      <c r="A18" s="6" t="s">
        <v>29</v>
      </c>
      <c r="B18" s="6" t="n">
        <f aca="false">ROUND(B7/(B6/100)^2,1)</f>
        <v>39.5</v>
      </c>
      <c r="C18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0" hidden="false" customHeight="tru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</row>
    <row r="5" customFormat="false" ht="26.85" hidden="false" customHeight="false" outlineLevel="0" collapsed="false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8" t="n">
        <v>390</v>
      </c>
      <c r="G5" s="8" t="n">
        <v>15</v>
      </c>
    </row>
    <row r="6" customFormat="false" ht="26.85" hidden="false" customHeight="false" outlineLevel="0" collapsed="false">
      <c r="A6" s="7" t="s">
        <v>40</v>
      </c>
      <c r="B6" s="7" t="s">
        <v>45</v>
      </c>
      <c r="C6" s="7" t="s">
        <v>46</v>
      </c>
      <c r="D6" s="7" t="s">
        <v>47</v>
      </c>
      <c r="E6" s="7" t="s">
        <v>48</v>
      </c>
      <c r="F6" s="8" t="n">
        <v>420</v>
      </c>
      <c r="G6" s="8" t="n">
        <v>18</v>
      </c>
    </row>
    <row r="7" customFormat="false" ht="15" hidden="false" customHeight="false" outlineLevel="0" collapsed="false">
      <c r="A7" s="7" t="s">
        <v>40</v>
      </c>
      <c r="B7" s="7" t="s">
        <v>49</v>
      </c>
      <c r="C7" s="7" t="s">
        <v>50</v>
      </c>
      <c r="D7" s="7" t="s">
        <v>51</v>
      </c>
      <c r="E7" s="7" t="s">
        <v>52</v>
      </c>
      <c r="F7" s="8" t="n">
        <v>210</v>
      </c>
      <c r="G7" s="8" t="n">
        <v>9</v>
      </c>
    </row>
    <row r="8" customFormat="false" ht="26.85" hidden="false" customHeight="false" outlineLevel="0" collapsed="false">
      <c r="A8" s="7" t="s">
        <v>40</v>
      </c>
      <c r="B8" s="7" t="s">
        <v>53</v>
      </c>
      <c r="C8" s="7" t="s">
        <v>54</v>
      </c>
      <c r="D8" s="7" t="s">
        <v>55</v>
      </c>
      <c r="E8" s="7" t="s">
        <v>56</v>
      </c>
      <c r="F8" s="8" t="n">
        <v>440</v>
      </c>
      <c r="G8" s="8" t="n">
        <v>20</v>
      </c>
    </row>
    <row r="9" customFormat="false" ht="15" hidden="false" customHeight="false" outlineLevel="0" collapsed="false">
      <c r="A9" s="9" t="s">
        <v>40</v>
      </c>
      <c r="B9" s="9" t="s">
        <v>57</v>
      </c>
      <c r="C9" s="9"/>
      <c r="D9" s="9"/>
      <c r="E9" s="9"/>
      <c r="F9" s="9" t="n">
        <f aca="false">SUM(F5:F8)</f>
        <v>1460</v>
      </c>
      <c r="G9" s="9" t="n">
        <f aca="false">SUM(G5:G8)</f>
        <v>62</v>
      </c>
    </row>
    <row r="10" customFormat="false" ht="26.85" hidden="false" customHeight="false" outlineLevel="0" collapsed="false">
      <c r="A10" s="10" t="s">
        <v>58</v>
      </c>
      <c r="B10" s="10" t="s">
        <v>41</v>
      </c>
      <c r="C10" s="10" t="s">
        <v>59</v>
      </c>
      <c r="D10" s="10" t="s">
        <v>60</v>
      </c>
      <c r="E10" s="10" t="s">
        <v>61</v>
      </c>
      <c r="F10" s="11" t="n">
        <v>350</v>
      </c>
      <c r="G10" s="11" t="n">
        <v>18</v>
      </c>
    </row>
    <row r="11" customFormat="false" ht="26.85" hidden="false" customHeight="false" outlineLevel="0" collapsed="false">
      <c r="A11" s="10" t="s">
        <v>58</v>
      </c>
      <c r="B11" s="10" t="s">
        <v>45</v>
      </c>
      <c r="C11" s="10" t="s">
        <v>62</v>
      </c>
      <c r="D11" s="10" t="s">
        <v>63</v>
      </c>
      <c r="E11" s="10" t="s">
        <v>64</v>
      </c>
      <c r="F11" s="11" t="n">
        <v>490</v>
      </c>
      <c r="G11" s="11" t="n">
        <v>19</v>
      </c>
    </row>
    <row r="12" customFormat="false" ht="15" hidden="false" customHeight="false" outlineLevel="0" collapsed="false">
      <c r="A12" s="10" t="s">
        <v>58</v>
      </c>
      <c r="B12" s="10" t="s">
        <v>49</v>
      </c>
      <c r="C12" s="10" t="s">
        <v>65</v>
      </c>
      <c r="D12" s="10" t="s">
        <v>66</v>
      </c>
      <c r="E12" s="10" t="s">
        <v>67</v>
      </c>
      <c r="F12" s="11" t="n">
        <v>190</v>
      </c>
      <c r="G12" s="11" t="n">
        <v>10</v>
      </c>
    </row>
    <row r="13" customFormat="false" ht="15" hidden="false" customHeight="false" outlineLevel="0" collapsed="false">
      <c r="A13" s="10" t="s">
        <v>58</v>
      </c>
      <c r="B13" s="10" t="s">
        <v>53</v>
      </c>
      <c r="C13" s="10" t="s">
        <v>68</v>
      </c>
      <c r="D13" s="10" t="s">
        <v>69</v>
      </c>
      <c r="E13" s="10" t="s">
        <v>70</v>
      </c>
      <c r="F13" s="11" t="n">
        <v>410</v>
      </c>
      <c r="G13" s="11" t="n">
        <v>15</v>
      </c>
    </row>
    <row r="14" customFormat="false" ht="15" hidden="false" customHeight="false" outlineLevel="0" collapsed="false">
      <c r="A14" s="9" t="s">
        <v>58</v>
      </c>
      <c r="B14" s="9" t="s">
        <v>57</v>
      </c>
      <c r="C14" s="9"/>
      <c r="D14" s="9"/>
      <c r="E14" s="9"/>
      <c r="F14" s="9" t="n">
        <f aca="false">SUM(F10:F13)</f>
        <v>1440</v>
      </c>
      <c r="G14" s="9" t="n">
        <f aca="false">SUM(G10:G13)</f>
        <v>62</v>
      </c>
    </row>
    <row r="15" customFormat="false" ht="26.85" hidden="false" customHeight="false" outlineLevel="0" collapsed="false">
      <c r="A15" s="7" t="s">
        <v>71</v>
      </c>
      <c r="B15" s="7" t="s">
        <v>41</v>
      </c>
      <c r="C15" s="7" t="s">
        <v>72</v>
      </c>
      <c r="D15" s="7" t="s">
        <v>73</v>
      </c>
      <c r="E15" s="7" t="s">
        <v>74</v>
      </c>
      <c r="F15" s="8" t="n">
        <v>380</v>
      </c>
      <c r="G15" s="8" t="n">
        <v>16</v>
      </c>
    </row>
    <row r="16" customFormat="false" ht="26.85" hidden="false" customHeight="false" outlineLevel="0" collapsed="false">
      <c r="A16" s="7" t="s">
        <v>71</v>
      </c>
      <c r="B16" s="7" t="s">
        <v>45</v>
      </c>
      <c r="C16" s="7" t="s">
        <v>75</v>
      </c>
      <c r="D16" s="7" t="s">
        <v>76</v>
      </c>
      <c r="E16" s="7" t="s">
        <v>77</v>
      </c>
      <c r="F16" s="8" t="n">
        <v>390</v>
      </c>
      <c r="G16" s="8" t="n">
        <v>15</v>
      </c>
    </row>
    <row r="17" customFormat="false" ht="15" hidden="false" customHeight="false" outlineLevel="0" collapsed="false">
      <c r="A17" s="7" t="s">
        <v>71</v>
      </c>
      <c r="B17" s="7" t="s">
        <v>49</v>
      </c>
      <c r="C17" s="7" t="s">
        <v>78</v>
      </c>
      <c r="D17" s="7" t="s">
        <v>79</v>
      </c>
      <c r="E17" s="7" t="s">
        <v>80</v>
      </c>
      <c r="F17" s="8" t="n">
        <v>200</v>
      </c>
      <c r="G17" s="8" t="n">
        <v>8</v>
      </c>
    </row>
    <row r="18" customFormat="false" ht="26.85" hidden="false" customHeight="false" outlineLevel="0" collapsed="false">
      <c r="A18" s="7" t="s">
        <v>71</v>
      </c>
      <c r="B18" s="7" t="s">
        <v>53</v>
      </c>
      <c r="C18" s="7" t="s">
        <v>81</v>
      </c>
      <c r="D18" s="7" t="s">
        <v>82</v>
      </c>
      <c r="E18" s="7" t="s">
        <v>83</v>
      </c>
      <c r="F18" s="8" t="n">
        <v>450</v>
      </c>
      <c r="G18" s="8" t="n">
        <v>22</v>
      </c>
    </row>
    <row r="19" customFormat="false" ht="15" hidden="false" customHeight="false" outlineLevel="0" collapsed="false">
      <c r="A19" s="9" t="s">
        <v>71</v>
      </c>
      <c r="B19" s="9" t="s">
        <v>57</v>
      </c>
      <c r="C19" s="9"/>
      <c r="D19" s="9"/>
      <c r="E19" s="9"/>
      <c r="F19" s="9" t="n">
        <f aca="false">SUM(F15:F18)</f>
        <v>1420</v>
      </c>
      <c r="G19" s="9" t="n">
        <f aca="false">SUM(G15:G18)</f>
        <v>61</v>
      </c>
    </row>
    <row r="20" customFormat="false" ht="26.85" hidden="false" customHeight="false" outlineLevel="0" collapsed="false">
      <c r="A20" s="10" t="s">
        <v>84</v>
      </c>
      <c r="B20" s="10" t="s">
        <v>41</v>
      </c>
      <c r="C20" s="10" t="s">
        <v>85</v>
      </c>
      <c r="D20" s="10" t="s">
        <v>86</v>
      </c>
      <c r="E20" s="10" t="s">
        <v>87</v>
      </c>
      <c r="F20" s="11" t="n">
        <v>390</v>
      </c>
      <c r="G20" s="11" t="n">
        <v>15</v>
      </c>
    </row>
    <row r="21" customFormat="false" ht="26.85" hidden="false" customHeight="false" outlineLevel="0" collapsed="false">
      <c r="A21" s="10" t="s">
        <v>84</v>
      </c>
      <c r="B21" s="10" t="s">
        <v>45</v>
      </c>
      <c r="C21" s="10" t="s">
        <v>88</v>
      </c>
      <c r="D21" s="10" t="s">
        <v>89</v>
      </c>
      <c r="E21" s="10" t="s">
        <v>90</v>
      </c>
      <c r="F21" s="11" t="n">
        <v>430</v>
      </c>
      <c r="G21" s="11" t="n">
        <v>18</v>
      </c>
    </row>
    <row r="22" customFormat="false" ht="15" hidden="false" customHeight="false" outlineLevel="0" collapsed="false">
      <c r="A22" s="10" t="s">
        <v>84</v>
      </c>
      <c r="B22" s="10" t="s">
        <v>49</v>
      </c>
      <c r="C22" s="10" t="s">
        <v>91</v>
      </c>
      <c r="D22" s="10" t="s">
        <v>92</v>
      </c>
      <c r="E22" s="10" t="s">
        <v>93</v>
      </c>
      <c r="F22" s="11" t="n">
        <v>190</v>
      </c>
      <c r="G22" s="11" t="n">
        <v>7</v>
      </c>
    </row>
    <row r="23" customFormat="false" ht="26.85" hidden="false" customHeight="false" outlineLevel="0" collapsed="false">
      <c r="A23" s="10" t="s">
        <v>84</v>
      </c>
      <c r="B23" s="10" t="s">
        <v>53</v>
      </c>
      <c r="C23" s="10" t="s">
        <v>94</v>
      </c>
      <c r="D23" s="10" t="s">
        <v>95</v>
      </c>
      <c r="E23" s="10" t="s">
        <v>96</v>
      </c>
      <c r="F23" s="11" t="n">
        <v>410</v>
      </c>
      <c r="G23" s="11" t="n">
        <v>20</v>
      </c>
    </row>
    <row r="24" customFormat="false" ht="15" hidden="false" customHeight="false" outlineLevel="0" collapsed="false">
      <c r="A24" s="9" t="s">
        <v>84</v>
      </c>
      <c r="B24" s="9" t="s">
        <v>57</v>
      </c>
      <c r="C24" s="9"/>
      <c r="D24" s="9"/>
      <c r="E24" s="9"/>
      <c r="F24" s="9" t="n">
        <f aca="false">SUM(F20:F23)</f>
        <v>1420</v>
      </c>
      <c r="G24" s="9" t="n">
        <f aca="false">SUM(G20:G23)</f>
        <v>60</v>
      </c>
    </row>
    <row r="25" customFormat="false" ht="26.85" hidden="false" customHeight="false" outlineLevel="0" collapsed="false">
      <c r="A25" s="7" t="s">
        <v>97</v>
      </c>
      <c r="B25" s="7" t="s">
        <v>41</v>
      </c>
      <c r="C25" s="7" t="s">
        <v>98</v>
      </c>
      <c r="D25" s="7" t="s">
        <v>99</v>
      </c>
      <c r="E25" s="7" t="s">
        <v>100</v>
      </c>
      <c r="F25" s="8" t="n">
        <v>360</v>
      </c>
      <c r="G25" s="8" t="n">
        <v>14</v>
      </c>
    </row>
    <row r="26" customFormat="false" ht="26.85" hidden="false" customHeight="false" outlineLevel="0" collapsed="false">
      <c r="A26" s="7" t="s">
        <v>97</v>
      </c>
      <c r="B26" s="7" t="s">
        <v>45</v>
      </c>
      <c r="C26" s="7" t="s">
        <v>101</v>
      </c>
      <c r="D26" s="7" t="s">
        <v>102</v>
      </c>
      <c r="E26" s="7" t="s">
        <v>103</v>
      </c>
      <c r="F26" s="8" t="n">
        <v>430</v>
      </c>
      <c r="G26" s="8" t="n">
        <v>17</v>
      </c>
    </row>
    <row r="27" customFormat="false" ht="26.85" hidden="false" customHeight="false" outlineLevel="0" collapsed="false">
      <c r="A27" s="7" t="s">
        <v>97</v>
      </c>
      <c r="B27" s="7" t="s">
        <v>49</v>
      </c>
      <c r="C27" s="7" t="s">
        <v>104</v>
      </c>
      <c r="D27" s="7" t="s">
        <v>105</v>
      </c>
      <c r="E27" s="7" t="s">
        <v>106</v>
      </c>
      <c r="F27" s="8" t="n">
        <v>210</v>
      </c>
      <c r="G27" s="8" t="n">
        <v>10</v>
      </c>
    </row>
    <row r="28" customFormat="false" ht="26.85" hidden="false" customHeight="false" outlineLevel="0" collapsed="false">
      <c r="A28" s="7" t="s">
        <v>97</v>
      </c>
      <c r="B28" s="7" t="s">
        <v>53</v>
      </c>
      <c r="C28" s="7" t="s">
        <v>107</v>
      </c>
      <c r="D28" s="7" t="s">
        <v>108</v>
      </c>
      <c r="E28" s="7" t="s">
        <v>109</v>
      </c>
      <c r="F28" s="8" t="n">
        <v>440</v>
      </c>
      <c r="G28" s="8" t="n">
        <v>20</v>
      </c>
    </row>
    <row r="29" customFormat="false" ht="15" hidden="false" customHeight="false" outlineLevel="0" collapsed="false">
      <c r="A29" s="9" t="s">
        <v>97</v>
      </c>
      <c r="B29" s="9" t="s">
        <v>57</v>
      </c>
      <c r="C29" s="9"/>
      <c r="D29" s="9"/>
      <c r="E29" s="9"/>
      <c r="F29" s="9" t="n">
        <f aca="false">SUM(F25:F28)</f>
        <v>1440</v>
      </c>
      <c r="G29" s="9" t="n">
        <f aca="false">SUM(G25:G28)</f>
        <v>61</v>
      </c>
    </row>
    <row r="30" customFormat="false" ht="26.85" hidden="false" customHeight="false" outlineLevel="0" collapsed="false">
      <c r="A30" s="10" t="s">
        <v>110</v>
      </c>
      <c r="B30" s="10" t="s">
        <v>41</v>
      </c>
      <c r="C30" s="10" t="s">
        <v>111</v>
      </c>
      <c r="D30" s="10" t="s">
        <v>112</v>
      </c>
      <c r="E30" s="10" t="s">
        <v>113</v>
      </c>
      <c r="F30" s="11" t="n">
        <v>330</v>
      </c>
      <c r="G30" s="11" t="n">
        <v>11</v>
      </c>
    </row>
    <row r="31" customFormat="false" ht="26.85" hidden="false" customHeight="false" outlineLevel="0" collapsed="false">
      <c r="A31" s="10" t="s">
        <v>110</v>
      </c>
      <c r="B31" s="10" t="s">
        <v>114</v>
      </c>
      <c r="C31" s="10" t="s">
        <v>115</v>
      </c>
      <c r="D31" s="10" t="s">
        <v>116</v>
      </c>
      <c r="E31" s="10" t="s">
        <v>117</v>
      </c>
      <c r="F31" s="11" t="n">
        <v>450</v>
      </c>
      <c r="G31" s="11" t="n">
        <v>17</v>
      </c>
    </row>
    <row r="32" customFormat="false" ht="15" hidden="false" customHeight="false" outlineLevel="0" collapsed="false">
      <c r="A32" s="10" t="s">
        <v>110</v>
      </c>
      <c r="B32" s="10" t="s">
        <v>49</v>
      </c>
      <c r="C32" s="10" t="s">
        <v>118</v>
      </c>
      <c r="D32" s="10" t="s">
        <v>119</v>
      </c>
      <c r="E32" s="10" t="s">
        <v>120</v>
      </c>
      <c r="F32" s="11" t="n">
        <v>180</v>
      </c>
      <c r="G32" s="11" t="n">
        <v>9</v>
      </c>
    </row>
    <row r="33" customFormat="false" ht="15" hidden="false" customHeight="false" outlineLevel="0" collapsed="false">
      <c r="A33" s="10" t="s">
        <v>110</v>
      </c>
      <c r="B33" s="10" t="s">
        <v>53</v>
      </c>
      <c r="C33" s="10" t="s">
        <v>121</v>
      </c>
      <c r="D33" s="10" t="s">
        <v>122</v>
      </c>
      <c r="E33" s="10" t="s">
        <v>123</v>
      </c>
      <c r="F33" s="11" t="n">
        <v>470</v>
      </c>
      <c r="G33" s="11" t="n">
        <v>21</v>
      </c>
    </row>
    <row r="34" customFormat="false" ht="15" hidden="false" customHeight="false" outlineLevel="0" collapsed="false">
      <c r="A34" s="9" t="s">
        <v>110</v>
      </c>
      <c r="B34" s="9" t="s">
        <v>57</v>
      </c>
      <c r="C34" s="9"/>
      <c r="D34" s="9"/>
      <c r="E34" s="9"/>
      <c r="F34" s="9" t="n">
        <f aca="false">SUM(F30:F33)</f>
        <v>1430</v>
      </c>
      <c r="G34" s="9" t="n">
        <f aca="false">SUM(G30:G33)</f>
        <v>58</v>
      </c>
    </row>
    <row r="35" customFormat="false" ht="39.55" hidden="false" customHeight="false" outlineLevel="0" collapsed="false">
      <c r="A35" s="7" t="s">
        <v>124</v>
      </c>
      <c r="B35" s="7" t="s">
        <v>41</v>
      </c>
      <c r="C35" s="7" t="s">
        <v>125</v>
      </c>
      <c r="D35" s="7" t="s">
        <v>126</v>
      </c>
      <c r="E35" s="7" t="s">
        <v>127</v>
      </c>
      <c r="F35" s="8" t="n">
        <v>520</v>
      </c>
      <c r="G35" s="8" t="n">
        <v>20</v>
      </c>
    </row>
    <row r="36" customFormat="false" ht="26.85" hidden="false" customHeight="false" outlineLevel="0" collapsed="false">
      <c r="A36" s="7" t="s">
        <v>124</v>
      </c>
      <c r="B36" s="7" t="s">
        <v>114</v>
      </c>
      <c r="C36" s="7" t="s">
        <v>128</v>
      </c>
      <c r="D36" s="7" t="s">
        <v>129</v>
      </c>
      <c r="E36" s="7" t="s">
        <v>130</v>
      </c>
      <c r="F36" s="8" t="n">
        <v>440</v>
      </c>
      <c r="G36" s="8" t="n">
        <v>16</v>
      </c>
    </row>
    <row r="37" customFormat="false" ht="15" hidden="false" customHeight="false" outlineLevel="0" collapsed="false">
      <c r="A37" s="7" t="s">
        <v>124</v>
      </c>
      <c r="B37" s="7" t="s">
        <v>49</v>
      </c>
      <c r="C37" s="7" t="s">
        <v>65</v>
      </c>
      <c r="D37" s="7" t="s">
        <v>66</v>
      </c>
      <c r="E37" s="7" t="s">
        <v>67</v>
      </c>
      <c r="F37" s="8" t="n">
        <v>190</v>
      </c>
      <c r="G37" s="8" t="n">
        <v>10</v>
      </c>
    </row>
    <row r="38" customFormat="false" ht="26.85" hidden="false" customHeight="false" outlineLevel="0" collapsed="false">
      <c r="A38" s="7" t="s">
        <v>124</v>
      </c>
      <c r="B38" s="7" t="s">
        <v>53</v>
      </c>
      <c r="C38" s="7" t="s">
        <v>131</v>
      </c>
      <c r="D38" s="7" t="s">
        <v>132</v>
      </c>
      <c r="E38" s="7" t="s">
        <v>133</v>
      </c>
      <c r="F38" s="8" t="n">
        <v>310</v>
      </c>
      <c r="G38" s="8" t="n">
        <v>13</v>
      </c>
    </row>
    <row r="39" customFormat="false" ht="15" hidden="false" customHeight="false" outlineLevel="0" collapsed="false">
      <c r="A39" s="9" t="s">
        <v>124</v>
      </c>
      <c r="B39" s="9" t="s">
        <v>57</v>
      </c>
      <c r="C39" s="9"/>
      <c r="D39" s="9"/>
      <c r="E39" s="9"/>
      <c r="F39" s="9" t="n">
        <f aca="false">SUM(F35:F38)</f>
        <v>1460</v>
      </c>
      <c r="G39" s="9" t="n">
        <f aca="false">SUM(G35:G38)</f>
        <v>59</v>
      </c>
    </row>
    <row r="40" customFormat="false" ht="15" hidden="false" customHeight="false" outlineLevel="0" collapsed="false">
      <c r="E40" s="12" t="s">
        <v>134</v>
      </c>
      <c r="F40" s="12" t="n">
        <f aca="false">ROUND(AVERAGE(F9,F14,F19,F24,F29,F34,F39),0)</f>
        <v>1439</v>
      </c>
      <c r="G40" s="12" t="n">
        <f aca="false">ROUND(AVERAGE(G9,G14,G19,G24,G29,G34,G39),0)</f>
        <v>60</v>
      </c>
    </row>
    <row r="41" customFormat="false" ht="15" hidden="false" customHeight="false" outlineLevel="0" collapsed="false">
      <c r="E41" s="12" t="s">
        <v>135</v>
      </c>
      <c r="F41" s="13" t="n">
        <f aca="false">'Energy Target'!B15</f>
        <v>1400</v>
      </c>
      <c r="G41" s="13" t="n">
        <f aca="false">'Energy Target'!B16</f>
        <v>64</v>
      </c>
    </row>
    <row r="43" customFormat="false" ht="15" hidden="false" customHeight="false" outlineLevel="0" collapsed="false">
      <c r="A43" s="14" t="s">
        <v>136</v>
      </c>
    </row>
  </sheetData>
  <autoFilter ref="A4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30" hidden="false" customHeight="true" outlineLevel="0" collapsed="false">
      <c r="A4" s="3" t="s">
        <v>33</v>
      </c>
      <c r="B4" s="3" t="s">
        <v>139</v>
      </c>
      <c r="C4" s="3" t="s">
        <v>140</v>
      </c>
      <c r="D4" s="3" t="s">
        <v>141</v>
      </c>
      <c r="E4" s="3" t="s">
        <v>142</v>
      </c>
      <c r="F4" s="3" t="s">
        <v>143</v>
      </c>
    </row>
    <row r="5" customFormat="false" ht="15" hidden="false" customHeight="false" outlineLevel="0" collapsed="false">
      <c r="A5" s="15" t="s">
        <v>40</v>
      </c>
      <c r="B5" s="16" t="n">
        <f aca="false">'Meal Plan'!F9</f>
        <v>1460</v>
      </c>
      <c r="C5" s="16" t="n">
        <f aca="false">'Meal Plan'!G9</f>
        <v>62</v>
      </c>
      <c r="D5" s="17" t="n">
        <f aca="false">B5-'Energy Target'!$B$15</f>
        <v>60</v>
      </c>
      <c r="E5" s="15" t="s">
        <v>144</v>
      </c>
      <c r="F5" s="15" t="s">
        <v>145</v>
      </c>
    </row>
    <row r="6" customFormat="false" ht="15" hidden="false" customHeight="false" outlineLevel="0" collapsed="false">
      <c r="A6" s="15" t="s">
        <v>58</v>
      </c>
      <c r="B6" s="16" t="n">
        <f aca="false">'Meal Plan'!F14</f>
        <v>1440</v>
      </c>
      <c r="C6" s="16" t="n">
        <f aca="false">'Meal Plan'!G14</f>
        <v>62</v>
      </c>
      <c r="D6" s="17" t="n">
        <f aca="false">B6-'Energy Target'!$B$15</f>
        <v>40</v>
      </c>
      <c r="E6" s="15" t="s">
        <v>146</v>
      </c>
      <c r="F6" s="15" t="s">
        <v>147</v>
      </c>
    </row>
    <row r="7" customFormat="false" ht="15" hidden="false" customHeight="false" outlineLevel="0" collapsed="false">
      <c r="A7" s="15" t="s">
        <v>71</v>
      </c>
      <c r="B7" s="16" t="n">
        <f aca="false">'Meal Plan'!F19</f>
        <v>1420</v>
      </c>
      <c r="C7" s="16" t="n">
        <f aca="false">'Meal Plan'!G19</f>
        <v>61</v>
      </c>
      <c r="D7" s="17" t="n">
        <f aca="false">B7-'Energy Target'!$B$15</f>
        <v>20</v>
      </c>
      <c r="E7" s="15" t="s">
        <v>148</v>
      </c>
      <c r="F7" s="15" t="s">
        <v>149</v>
      </c>
    </row>
    <row r="8" customFormat="false" ht="15" hidden="false" customHeight="false" outlineLevel="0" collapsed="false">
      <c r="A8" s="15" t="s">
        <v>84</v>
      </c>
      <c r="B8" s="16" t="n">
        <f aca="false">'Meal Plan'!F24</f>
        <v>1420</v>
      </c>
      <c r="C8" s="16" t="n">
        <f aca="false">'Meal Plan'!G24</f>
        <v>60</v>
      </c>
      <c r="D8" s="17" t="n">
        <f aca="false">B8-'Energy Target'!$B$15</f>
        <v>20</v>
      </c>
      <c r="E8" s="15" t="s">
        <v>150</v>
      </c>
      <c r="F8" s="15" t="s">
        <v>151</v>
      </c>
    </row>
    <row r="9" customFormat="false" ht="15" hidden="false" customHeight="false" outlineLevel="0" collapsed="false">
      <c r="A9" s="15" t="s">
        <v>97</v>
      </c>
      <c r="B9" s="16" t="n">
        <f aca="false">'Meal Plan'!F29</f>
        <v>1440</v>
      </c>
      <c r="C9" s="16" t="n">
        <f aca="false">'Meal Plan'!G29</f>
        <v>61</v>
      </c>
      <c r="D9" s="17" t="n">
        <f aca="false">B9-'Energy Target'!$B$15</f>
        <v>40</v>
      </c>
      <c r="E9" s="15" t="s">
        <v>152</v>
      </c>
      <c r="F9" s="15" t="s">
        <v>153</v>
      </c>
    </row>
    <row r="10" customFormat="false" ht="15" hidden="false" customHeight="false" outlineLevel="0" collapsed="false">
      <c r="A10" s="15" t="s">
        <v>110</v>
      </c>
      <c r="B10" s="16" t="n">
        <f aca="false">'Meal Plan'!F34</f>
        <v>1430</v>
      </c>
      <c r="C10" s="16" t="n">
        <f aca="false">'Meal Plan'!G34</f>
        <v>58</v>
      </c>
      <c r="D10" s="17" t="n">
        <f aca="false">B10-'Energy Target'!$B$15</f>
        <v>30</v>
      </c>
      <c r="E10" s="15" t="s">
        <v>154</v>
      </c>
      <c r="F10" s="15" t="s">
        <v>155</v>
      </c>
    </row>
    <row r="11" customFormat="false" ht="15" hidden="false" customHeight="false" outlineLevel="0" collapsed="false">
      <c r="A11" s="15" t="s">
        <v>124</v>
      </c>
      <c r="B11" s="16" t="n">
        <f aca="false">'Meal Plan'!F39</f>
        <v>1460</v>
      </c>
      <c r="C11" s="16" t="n">
        <f aca="false">'Meal Plan'!G39</f>
        <v>59</v>
      </c>
      <c r="D11" s="17" t="n">
        <f aca="false">B11-'Energy Target'!$B$15</f>
        <v>60</v>
      </c>
      <c r="E11" s="15" t="s">
        <v>156</v>
      </c>
      <c r="F11" s="15" t="s">
        <v>157</v>
      </c>
    </row>
    <row r="12" customFormat="false" ht="15" hidden="false" customHeight="false" outlineLevel="0" collapsed="false">
      <c r="A12" s="12" t="s">
        <v>158</v>
      </c>
      <c r="B12" s="12" t="n">
        <f aca="false">ROUND(AVERAGE(B5:B11),0)</f>
        <v>1439</v>
      </c>
      <c r="C12" s="12" t="n">
        <f aca="false">ROUND(AVERAGE(C5:C11),0)</f>
        <v>60</v>
      </c>
    </row>
    <row r="14" customFormat="false" ht="15" hidden="false" customHeight="false" outlineLevel="0" collapsed="false">
      <c r="A14" s="1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30" hidden="false" customHeight="true" outlineLevel="0" collapsed="false">
      <c r="A4" s="3" t="s">
        <v>162</v>
      </c>
      <c r="B4" s="3" t="s">
        <v>2</v>
      </c>
      <c r="C4" s="3" t="s">
        <v>163</v>
      </c>
      <c r="D4" s="3" t="s">
        <v>164</v>
      </c>
    </row>
    <row r="5" customFormat="false" ht="15" hidden="false" customHeight="false" outlineLevel="0" collapsed="false">
      <c r="A5" s="18" t="s">
        <v>165</v>
      </c>
      <c r="B5" s="19" t="s">
        <v>166</v>
      </c>
      <c r="C5" s="19" t="s">
        <v>167</v>
      </c>
      <c r="D5" s="19"/>
    </row>
    <row r="6" customFormat="false" ht="15" hidden="false" customHeight="false" outlineLevel="0" collapsed="false">
      <c r="A6" s="18" t="s">
        <v>165</v>
      </c>
      <c r="B6" s="19" t="s">
        <v>168</v>
      </c>
      <c r="C6" s="19" t="s">
        <v>169</v>
      </c>
      <c r="D6" s="19"/>
    </row>
    <row r="7" customFormat="false" ht="15" hidden="false" customHeight="false" outlineLevel="0" collapsed="false">
      <c r="A7" s="18" t="s">
        <v>165</v>
      </c>
      <c r="B7" s="19" t="s">
        <v>170</v>
      </c>
      <c r="C7" s="19" t="s">
        <v>171</v>
      </c>
      <c r="D7" s="19"/>
    </row>
    <row r="8" customFormat="false" ht="15" hidden="false" customHeight="false" outlineLevel="0" collapsed="false">
      <c r="A8" s="18" t="s">
        <v>165</v>
      </c>
      <c r="B8" s="19" t="s">
        <v>172</v>
      </c>
      <c r="C8" s="19" t="s">
        <v>173</v>
      </c>
      <c r="D8" s="19"/>
    </row>
    <row r="9" customFormat="false" ht="15" hidden="false" customHeight="false" outlineLevel="0" collapsed="false">
      <c r="A9" s="18" t="s">
        <v>165</v>
      </c>
      <c r="B9" s="19" t="s">
        <v>174</v>
      </c>
      <c r="C9" s="19" t="s">
        <v>173</v>
      </c>
      <c r="D9" s="19"/>
    </row>
    <row r="10" customFormat="false" ht="15" hidden="false" customHeight="false" outlineLevel="0" collapsed="false">
      <c r="A10" s="18" t="s">
        <v>165</v>
      </c>
      <c r="B10" s="19" t="s">
        <v>175</v>
      </c>
      <c r="C10" s="19" t="s">
        <v>176</v>
      </c>
      <c r="D10" s="19"/>
    </row>
    <row r="11" customFormat="false" ht="26.85" hidden="false" customHeight="false" outlineLevel="0" collapsed="false">
      <c r="A11" s="18" t="s">
        <v>165</v>
      </c>
      <c r="B11" s="19" t="s">
        <v>177</v>
      </c>
      <c r="C11" s="19" t="s">
        <v>178</v>
      </c>
      <c r="D11" s="19"/>
    </row>
    <row r="12" customFormat="false" ht="15" hidden="false" customHeight="false" outlineLevel="0" collapsed="false">
      <c r="A12" s="18" t="s">
        <v>165</v>
      </c>
      <c r="B12" s="19" t="s">
        <v>179</v>
      </c>
      <c r="C12" s="19" t="s">
        <v>176</v>
      </c>
      <c r="D12" s="19"/>
    </row>
    <row r="13" customFormat="false" ht="15" hidden="false" customHeight="false" outlineLevel="0" collapsed="false">
      <c r="A13" s="18" t="s">
        <v>165</v>
      </c>
      <c r="B13" s="19" t="s">
        <v>180</v>
      </c>
      <c r="C13" s="19" t="s">
        <v>181</v>
      </c>
      <c r="D13" s="19"/>
    </row>
    <row r="14" customFormat="false" ht="15" hidden="false" customHeight="false" outlineLevel="0" collapsed="false">
      <c r="A14" s="18" t="s">
        <v>182</v>
      </c>
      <c r="B14" s="19" t="s">
        <v>183</v>
      </c>
      <c r="C14" s="19" t="s">
        <v>184</v>
      </c>
      <c r="D14" s="19"/>
    </row>
    <row r="15" customFormat="false" ht="15" hidden="false" customHeight="false" outlineLevel="0" collapsed="false">
      <c r="A15" s="18" t="s">
        <v>182</v>
      </c>
      <c r="B15" s="19" t="s">
        <v>185</v>
      </c>
      <c r="C15" s="19" t="s">
        <v>184</v>
      </c>
      <c r="D15" s="19"/>
    </row>
    <row r="16" customFormat="false" ht="15" hidden="false" customHeight="false" outlineLevel="0" collapsed="false">
      <c r="A16" s="18" t="s">
        <v>182</v>
      </c>
      <c r="B16" s="19" t="s">
        <v>186</v>
      </c>
      <c r="C16" s="19" t="s">
        <v>176</v>
      </c>
      <c r="D16" s="19"/>
    </row>
    <row r="17" customFormat="false" ht="15" hidden="false" customHeight="false" outlineLevel="0" collapsed="false">
      <c r="A17" s="18" t="s">
        <v>182</v>
      </c>
      <c r="B17" s="19" t="s">
        <v>187</v>
      </c>
      <c r="C17" s="19" t="s">
        <v>171</v>
      </c>
      <c r="D17" s="19"/>
    </row>
    <row r="18" customFormat="false" ht="15" hidden="false" customHeight="false" outlineLevel="0" collapsed="false">
      <c r="A18" s="18" t="s">
        <v>182</v>
      </c>
      <c r="B18" s="19" t="s">
        <v>188</v>
      </c>
      <c r="C18" s="19" t="s">
        <v>181</v>
      </c>
      <c r="D18" s="19"/>
    </row>
    <row r="19" customFormat="false" ht="15" hidden="false" customHeight="false" outlineLevel="0" collapsed="false">
      <c r="A19" s="18" t="s">
        <v>182</v>
      </c>
      <c r="B19" s="19" t="s">
        <v>189</v>
      </c>
      <c r="C19" s="19" t="s">
        <v>181</v>
      </c>
      <c r="D19" s="19"/>
    </row>
    <row r="20" customFormat="false" ht="15" hidden="false" customHeight="false" outlineLevel="0" collapsed="false">
      <c r="A20" s="18" t="s">
        <v>182</v>
      </c>
      <c r="B20" s="19" t="s">
        <v>190</v>
      </c>
      <c r="C20" s="19" t="s">
        <v>181</v>
      </c>
      <c r="D20" s="19"/>
    </row>
    <row r="21" customFormat="false" ht="15" hidden="false" customHeight="false" outlineLevel="0" collapsed="false">
      <c r="A21" s="18" t="s">
        <v>182</v>
      </c>
      <c r="B21" s="19" t="s">
        <v>191</v>
      </c>
      <c r="C21" s="19" t="s">
        <v>181</v>
      </c>
      <c r="D21" s="19"/>
    </row>
    <row r="22" customFormat="false" ht="26.85" hidden="false" customHeight="false" outlineLevel="0" collapsed="false">
      <c r="A22" s="18" t="s">
        <v>192</v>
      </c>
      <c r="B22" s="19" t="s">
        <v>193</v>
      </c>
      <c r="C22" s="19" t="s">
        <v>194</v>
      </c>
      <c r="D22" s="19"/>
    </row>
    <row r="23" customFormat="false" ht="26.85" hidden="false" customHeight="false" outlineLevel="0" collapsed="false">
      <c r="A23" s="18" t="s">
        <v>192</v>
      </c>
      <c r="B23" s="19" t="s">
        <v>195</v>
      </c>
      <c r="C23" s="19" t="s">
        <v>178</v>
      </c>
      <c r="D23" s="19"/>
    </row>
    <row r="24" customFormat="false" ht="26.85" hidden="false" customHeight="false" outlineLevel="0" collapsed="false">
      <c r="A24" s="18" t="s">
        <v>192</v>
      </c>
      <c r="B24" s="19" t="s">
        <v>196</v>
      </c>
      <c r="C24" s="19" t="s">
        <v>176</v>
      </c>
      <c r="D24" s="19"/>
    </row>
    <row r="25" customFormat="false" ht="26.85" hidden="false" customHeight="false" outlineLevel="0" collapsed="false">
      <c r="A25" s="18" t="s">
        <v>192</v>
      </c>
      <c r="B25" s="19" t="s">
        <v>197</v>
      </c>
      <c r="C25" s="19" t="s">
        <v>176</v>
      </c>
      <c r="D25" s="19"/>
    </row>
    <row r="26" customFormat="false" ht="26.85" hidden="false" customHeight="false" outlineLevel="0" collapsed="false">
      <c r="A26" s="18" t="s">
        <v>192</v>
      </c>
      <c r="B26" s="19" t="s">
        <v>198</v>
      </c>
      <c r="C26" s="19" t="s">
        <v>167</v>
      </c>
      <c r="D26" s="19"/>
    </row>
    <row r="27" customFormat="false" ht="26.85" hidden="false" customHeight="false" outlineLevel="0" collapsed="false">
      <c r="A27" s="18" t="s">
        <v>192</v>
      </c>
      <c r="B27" s="19" t="s">
        <v>199</v>
      </c>
      <c r="C27" s="19" t="s">
        <v>167</v>
      </c>
      <c r="D27" s="19"/>
    </row>
    <row r="28" customFormat="false" ht="26.85" hidden="false" customHeight="false" outlineLevel="0" collapsed="false">
      <c r="A28" s="18" t="s">
        <v>192</v>
      </c>
      <c r="B28" s="19" t="s">
        <v>200</v>
      </c>
      <c r="C28" s="19" t="s">
        <v>167</v>
      </c>
      <c r="D28" s="19"/>
    </row>
    <row r="29" customFormat="false" ht="26.85" hidden="false" customHeight="false" outlineLevel="0" collapsed="false">
      <c r="A29" s="18" t="s">
        <v>192</v>
      </c>
      <c r="B29" s="19" t="s">
        <v>201</v>
      </c>
      <c r="C29" s="19" t="s">
        <v>202</v>
      </c>
      <c r="D29" s="19"/>
    </row>
    <row r="30" customFormat="false" ht="26.85" hidden="false" customHeight="false" outlineLevel="0" collapsed="false">
      <c r="A30" s="18" t="s">
        <v>192</v>
      </c>
      <c r="B30" s="19" t="s">
        <v>203</v>
      </c>
      <c r="C30" s="19" t="s">
        <v>204</v>
      </c>
      <c r="D30" s="19"/>
    </row>
    <row r="31" customFormat="false" ht="26.85" hidden="false" customHeight="false" outlineLevel="0" collapsed="false">
      <c r="A31" s="18" t="s">
        <v>192</v>
      </c>
      <c r="B31" s="19" t="s">
        <v>205</v>
      </c>
      <c r="C31" s="19" t="s">
        <v>206</v>
      </c>
      <c r="D31" s="19"/>
    </row>
    <row r="32" customFormat="false" ht="26.85" hidden="false" customHeight="false" outlineLevel="0" collapsed="false">
      <c r="A32" s="18" t="s">
        <v>192</v>
      </c>
      <c r="B32" s="19" t="s">
        <v>207</v>
      </c>
      <c r="C32" s="19" t="s">
        <v>173</v>
      </c>
      <c r="D32" s="19"/>
    </row>
    <row r="33" customFormat="false" ht="26.85" hidden="false" customHeight="false" outlineLevel="0" collapsed="false">
      <c r="A33" s="18" t="s">
        <v>192</v>
      </c>
      <c r="B33" s="19" t="s">
        <v>208</v>
      </c>
      <c r="C33" s="19" t="s">
        <v>176</v>
      </c>
      <c r="D33" s="19"/>
    </row>
    <row r="34" customFormat="false" ht="26.85" hidden="false" customHeight="false" outlineLevel="0" collapsed="false">
      <c r="A34" s="18" t="s">
        <v>192</v>
      </c>
      <c r="B34" s="19" t="s">
        <v>209</v>
      </c>
      <c r="C34" s="19" t="s">
        <v>210</v>
      </c>
      <c r="D34" s="19"/>
    </row>
    <row r="35" customFormat="false" ht="26.85" hidden="false" customHeight="false" outlineLevel="0" collapsed="false">
      <c r="A35" s="18" t="s">
        <v>192</v>
      </c>
      <c r="B35" s="19" t="s">
        <v>211</v>
      </c>
      <c r="C35" s="19" t="s">
        <v>212</v>
      </c>
      <c r="D35" s="19"/>
    </row>
    <row r="36" customFormat="false" ht="26.85" hidden="false" customHeight="false" outlineLevel="0" collapsed="false">
      <c r="A36" s="18" t="s">
        <v>192</v>
      </c>
      <c r="B36" s="19" t="s">
        <v>213</v>
      </c>
      <c r="C36" s="19" t="s">
        <v>210</v>
      </c>
      <c r="D36" s="19"/>
    </row>
    <row r="37" customFormat="false" ht="26.85" hidden="false" customHeight="false" outlineLevel="0" collapsed="false">
      <c r="A37" s="18" t="s">
        <v>192</v>
      </c>
      <c r="B37" s="19" t="s">
        <v>214</v>
      </c>
      <c r="C37" s="19" t="s">
        <v>210</v>
      </c>
      <c r="D37" s="19"/>
    </row>
    <row r="38" customFormat="false" ht="26.85" hidden="false" customHeight="false" outlineLevel="0" collapsed="false">
      <c r="A38" s="18" t="s">
        <v>192</v>
      </c>
      <c r="B38" s="19" t="s">
        <v>215</v>
      </c>
      <c r="C38" s="19" t="s">
        <v>202</v>
      </c>
      <c r="D38" s="19"/>
    </row>
    <row r="39" customFormat="false" ht="26.85" hidden="false" customHeight="false" outlineLevel="0" collapsed="false">
      <c r="A39" s="18" t="s">
        <v>192</v>
      </c>
      <c r="B39" s="19" t="s">
        <v>216</v>
      </c>
      <c r="C39" s="19" t="s">
        <v>217</v>
      </c>
      <c r="D39" s="19"/>
    </row>
    <row r="40" customFormat="false" ht="15" hidden="false" customHeight="false" outlineLevel="0" collapsed="false">
      <c r="A40" s="18" t="s">
        <v>218</v>
      </c>
      <c r="B40" s="19" t="s">
        <v>219</v>
      </c>
      <c r="C40" s="19" t="s">
        <v>220</v>
      </c>
      <c r="D40" s="19"/>
    </row>
    <row r="41" customFormat="false" ht="15" hidden="false" customHeight="false" outlineLevel="0" collapsed="false">
      <c r="A41" s="18" t="s">
        <v>218</v>
      </c>
      <c r="B41" s="19" t="s">
        <v>221</v>
      </c>
      <c r="C41" s="19" t="s">
        <v>222</v>
      </c>
      <c r="D41" s="19"/>
    </row>
    <row r="42" customFormat="false" ht="15" hidden="false" customHeight="false" outlineLevel="0" collapsed="false">
      <c r="A42" s="18" t="s">
        <v>218</v>
      </c>
      <c r="B42" s="19" t="s">
        <v>223</v>
      </c>
      <c r="C42" s="19" t="s">
        <v>224</v>
      </c>
      <c r="D42" s="19"/>
    </row>
    <row r="43" customFormat="false" ht="15" hidden="false" customHeight="false" outlineLevel="0" collapsed="false">
      <c r="A43" s="18" t="s">
        <v>218</v>
      </c>
      <c r="B43" s="19" t="s">
        <v>225</v>
      </c>
      <c r="C43" s="19" t="s">
        <v>220</v>
      </c>
      <c r="D43" s="19"/>
    </row>
    <row r="44" customFormat="false" ht="15" hidden="false" customHeight="false" outlineLevel="0" collapsed="false">
      <c r="A44" s="18" t="s">
        <v>226</v>
      </c>
      <c r="B44" s="19" t="s">
        <v>227</v>
      </c>
      <c r="C44" s="19" t="s">
        <v>228</v>
      </c>
      <c r="D44" s="19"/>
    </row>
    <row r="45" customFormat="false" ht="15" hidden="false" customHeight="false" outlineLevel="0" collapsed="false">
      <c r="A45" s="18" t="s">
        <v>226</v>
      </c>
      <c r="B45" s="19" t="s">
        <v>229</v>
      </c>
      <c r="C45" s="19" t="s">
        <v>230</v>
      </c>
      <c r="D45" s="19"/>
    </row>
    <row r="46" customFormat="false" ht="15" hidden="false" customHeight="false" outlineLevel="0" collapsed="false">
      <c r="A46" s="18" t="s">
        <v>226</v>
      </c>
      <c r="B46" s="19" t="s">
        <v>231</v>
      </c>
      <c r="C46" s="19" t="s">
        <v>184</v>
      </c>
      <c r="D46" s="19"/>
    </row>
    <row r="47" customFormat="false" ht="15" hidden="false" customHeight="false" outlineLevel="0" collapsed="false">
      <c r="A47" s="18" t="s">
        <v>226</v>
      </c>
      <c r="B47" s="19" t="s">
        <v>232</v>
      </c>
      <c r="C47" s="19" t="s">
        <v>233</v>
      </c>
      <c r="D47" s="19"/>
    </row>
    <row r="48" customFormat="false" ht="15" hidden="false" customHeight="false" outlineLevel="0" collapsed="false">
      <c r="A48" s="18" t="s">
        <v>234</v>
      </c>
      <c r="B48" s="19" t="s">
        <v>235</v>
      </c>
      <c r="C48" s="19" t="s">
        <v>171</v>
      </c>
      <c r="D48" s="19"/>
    </row>
    <row r="49" customFormat="false" ht="15" hidden="false" customHeight="false" outlineLevel="0" collapsed="false">
      <c r="A49" s="18" t="s">
        <v>234</v>
      </c>
      <c r="B49" s="19" t="s">
        <v>236</v>
      </c>
      <c r="C49" s="19" t="s">
        <v>237</v>
      </c>
      <c r="D49" s="19"/>
    </row>
    <row r="50" customFormat="false" ht="15" hidden="false" customHeight="false" outlineLevel="0" collapsed="false">
      <c r="A50" s="18" t="s">
        <v>234</v>
      </c>
      <c r="B50" s="19" t="s">
        <v>238</v>
      </c>
      <c r="C50" s="19" t="s">
        <v>233</v>
      </c>
      <c r="D50" s="19"/>
    </row>
    <row r="51" customFormat="false" ht="26.85" hidden="false" customHeight="false" outlineLevel="0" collapsed="false">
      <c r="A51" s="18" t="s">
        <v>239</v>
      </c>
      <c r="B51" s="19" t="s">
        <v>240</v>
      </c>
      <c r="C51" s="19" t="s">
        <v>241</v>
      </c>
      <c r="D51" s="19"/>
    </row>
    <row r="52" customFormat="false" ht="15" hidden="false" customHeight="false" outlineLevel="0" collapsed="false">
      <c r="A52" s="18" t="s">
        <v>239</v>
      </c>
      <c r="B52" s="19" t="s">
        <v>242</v>
      </c>
      <c r="C52" s="19" t="s">
        <v>217</v>
      </c>
      <c r="D52" s="19"/>
    </row>
    <row r="53" customFormat="false" ht="15" hidden="false" customHeight="false" outlineLevel="0" collapsed="false">
      <c r="A53" s="18" t="s">
        <v>239</v>
      </c>
      <c r="B53" s="19" t="s">
        <v>243</v>
      </c>
      <c r="C53" s="19" t="s">
        <v>181</v>
      </c>
      <c r="D53" s="19"/>
    </row>
    <row r="54" customFormat="false" ht="15" hidden="false" customHeight="false" outlineLevel="0" collapsed="false">
      <c r="A54" s="18" t="s">
        <v>239</v>
      </c>
      <c r="B54" s="19" t="s">
        <v>244</v>
      </c>
      <c r="C54" s="19" t="s">
        <v>245</v>
      </c>
      <c r="D54" s="19"/>
    </row>
    <row r="55" customFormat="false" ht="15" hidden="false" customHeight="false" outlineLevel="0" collapsed="false">
      <c r="A55" s="18" t="s">
        <v>239</v>
      </c>
      <c r="B55" s="19" t="s">
        <v>246</v>
      </c>
      <c r="C55" s="19" t="s">
        <v>217</v>
      </c>
      <c r="D55" s="19"/>
    </row>
    <row r="56" customFormat="false" ht="15" hidden="false" customHeight="false" outlineLevel="0" collapsed="false">
      <c r="A56" s="18" t="s">
        <v>239</v>
      </c>
      <c r="B56" s="19" t="s">
        <v>247</v>
      </c>
      <c r="C56" s="19" t="s">
        <v>217</v>
      </c>
      <c r="D56" s="19"/>
    </row>
  </sheetData>
  <autoFilter ref="A4:D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248</v>
      </c>
    </row>
    <row r="3" customFormat="false" ht="15" hidden="false" customHeight="false" outlineLevel="0" collapsed="false">
      <c r="A3" s="20" t="s">
        <v>249</v>
      </c>
      <c r="B3" s="21"/>
    </row>
    <row r="4" customFormat="false" ht="15" hidden="false" customHeight="false" outlineLevel="0" collapsed="false">
      <c r="A4" s="22" t="n">
        <v>1</v>
      </c>
      <c r="B4" s="23" t="s">
        <v>250</v>
      </c>
    </row>
    <row r="5" customFormat="false" ht="15" hidden="false" customHeight="false" outlineLevel="0" collapsed="false">
      <c r="A5" s="22" t="n">
        <v>2</v>
      </c>
      <c r="B5" s="23" t="s">
        <v>251</v>
      </c>
    </row>
    <row r="6" customFormat="false" ht="15" hidden="false" customHeight="false" outlineLevel="0" collapsed="false">
      <c r="A6" s="22" t="n">
        <v>3</v>
      </c>
      <c r="B6" s="23" t="s">
        <v>252</v>
      </c>
    </row>
    <row r="7" customFormat="false" ht="15" hidden="false" customHeight="false" outlineLevel="0" collapsed="false">
      <c r="A7" s="22" t="n">
        <v>4</v>
      </c>
      <c r="B7" s="23" t="s">
        <v>253</v>
      </c>
    </row>
    <row r="8" customFormat="false" ht="15" hidden="false" customHeight="false" outlineLevel="0" collapsed="false">
      <c r="A8" s="22" t="n">
        <v>5</v>
      </c>
      <c r="B8" s="23" t="s">
        <v>254</v>
      </c>
    </row>
    <row r="9" customFormat="false" ht="15" hidden="false" customHeight="false" outlineLevel="0" collapsed="false">
      <c r="A9" s="22" t="n">
        <v>6</v>
      </c>
      <c r="B9" s="23" t="s">
        <v>255</v>
      </c>
    </row>
    <row r="11" customFormat="false" ht="15" hidden="false" customHeight="false" outlineLevel="0" collapsed="false">
      <c r="A11" s="20" t="s">
        <v>256</v>
      </c>
      <c r="B11" s="21"/>
    </row>
    <row r="12" customFormat="false" ht="26.85" hidden="false" customHeight="false" outlineLevel="0" collapsed="false">
      <c r="A12" s="22" t="n">
        <v>1</v>
      </c>
      <c r="B12" s="23" t="s">
        <v>257</v>
      </c>
    </row>
    <row r="13" customFormat="false" ht="26.85" hidden="false" customHeight="false" outlineLevel="0" collapsed="false">
      <c r="A13" s="22" t="n">
        <v>2</v>
      </c>
      <c r="B13" s="23" t="s">
        <v>258</v>
      </c>
    </row>
    <row r="14" customFormat="false" ht="26.85" hidden="false" customHeight="false" outlineLevel="0" collapsed="false">
      <c r="A14" s="22" t="n">
        <v>3</v>
      </c>
      <c r="B14" s="23" t="s">
        <v>259</v>
      </c>
    </row>
    <row r="15" customFormat="false" ht="26.85" hidden="false" customHeight="false" outlineLevel="0" collapsed="false">
      <c r="A15" s="22" t="n">
        <v>4</v>
      </c>
      <c r="B15" s="23" t="s">
        <v>260</v>
      </c>
    </row>
    <row r="16" customFormat="false" ht="26.85" hidden="false" customHeight="false" outlineLevel="0" collapsed="false">
      <c r="A16" s="22" t="n">
        <v>5</v>
      </c>
      <c r="B16" s="23" t="s">
        <v>261</v>
      </c>
    </row>
    <row r="18" customFormat="false" ht="15" hidden="false" customHeight="false" outlineLevel="0" collapsed="false">
      <c r="A18" s="20" t="s">
        <v>262</v>
      </c>
      <c r="B18" s="21"/>
    </row>
    <row r="19" customFormat="false" ht="15" hidden="false" customHeight="false" outlineLevel="0" collapsed="false">
      <c r="A19" s="22" t="n">
        <v>1</v>
      </c>
      <c r="B19" s="23" t="s">
        <v>263</v>
      </c>
    </row>
    <row r="20" customFormat="false" ht="15" hidden="false" customHeight="false" outlineLevel="0" collapsed="false">
      <c r="A20" s="22" t="n">
        <v>2</v>
      </c>
      <c r="B20" s="23" t="s">
        <v>264</v>
      </c>
    </row>
    <row r="21" customFormat="false" ht="26.85" hidden="false" customHeight="false" outlineLevel="0" collapsed="false">
      <c r="A21" s="22" t="n">
        <v>3</v>
      </c>
      <c r="B21" s="23" t="s">
        <v>265</v>
      </c>
    </row>
    <row r="22" customFormat="false" ht="26.85" hidden="false" customHeight="false" outlineLevel="0" collapsed="false">
      <c r="A22" s="22" t="n">
        <v>4</v>
      </c>
      <c r="B22" s="23" t="s">
        <v>266</v>
      </c>
    </row>
    <row r="23" customFormat="false" ht="26.85" hidden="false" customHeight="false" outlineLevel="0" collapsed="false">
      <c r="A23" s="22" t="n">
        <v>5</v>
      </c>
      <c r="B23" s="23" t="s">
        <v>267</v>
      </c>
    </row>
    <row r="24" customFormat="false" ht="15" hidden="false" customHeight="false" outlineLevel="0" collapsed="false">
      <c r="A24" s="22" t="n">
        <v>6</v>
      </c>
      <c r="B24" s="23" t="s">
        <v>268</v>
      </c>
    </row>
    <row r="26" customFormat="false" ht="15" hidden="false" customHeight="false" outlineLevel="0" collapsed="false">
      <c r="A26" s="20" t="s">
        <v>269</v>
      </c>
      <c r="B26" s="21"/>
    </row>
    <row r="27" customFormat="false" ht="39.55" hidden="false" customHeight="false" outlineLevel="0" collapsed="false">
      <c r="A27" s="22" t="n">
        <v>1</v>
      </c>
      <c r="B27" s="23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2026-10-07T02:25:22Z</dcterms:created>
  <dc:creator>openpyxl</dc:creator>
  <dc:description/>
  <dc:language>en-US</dc:language>
  <cp:lastModifiedBy/>
  <dcterms:modified xsi:type="dcterms:W3CDTF">2026-10-07T02:25:22Z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