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nergy Target" sheetId="1" state="visible" r:id="rId3"/>
    <sheet name="Meal Plan" sheetId="2" state="visible" r:id="rId4"/>
    <sheet name="Weekly Snapshot" sheetId="3" state="visible" r:id="rId5"/>
    <sheet name="Grocery List" sheetId="4" state="visible" r:id="rId6"/>
    <sheet name="Swaps &amp; Tips" sheetId="5" state="visible" r:id="rId7"/>
  </sheets>
  <definedNames>
    <definedName function="false" hidden="true" localSheetId="3" name="_xlnm._FilterDatabase" vbProcedure="false">'Grocery List'!$A$4:$D$56</definedName>
    <definedName function="false" hidden="true" localSheetId="1" name="_xlnm._FilterDatabase" vbProcedure="false">'Meal Plan'!$A$4:$G$39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<sst xmlns="http://schemas.openxmlformats.org/spreadsheetml/2006/main" count="415" uniqueCount="269">
  <si>
    <t xml:space="preserve">Daily Energy Target (Mifflin-St Jeor)</t>
  </si>
  <si>
    <t xml:space="preserve">Yellow cells are inputs. Change any of them and every number updates automatically.</t>
  </si>
  <si>
    <t xml:space="preserve">Item</t>
  </si>
  <si>
    <t xml:space="preserve">Value</t>
  </si>
  <si>
    <t xml:space="preserve">Note</t>
  </si>
  <si>
    <t xml:space="preserve">Age (years)</t>
  </si>
  <si>
    <t xml:space="preserve">From your profile</t>
  </si>
  <si>
    <t xml:space="preserve">Height (cm)</t>
  </si>
  <si>
    <t xml:space="preserve">Assumed "5.1" means 5 ft 1 in ≈ 155 cm</t>
  </si>
  <si>
    <t xml:space="preserve">Current weight (kg)</t>
  </si>
  <si>
    <t xml:space="preserve">Goal weight (kg)</t>
  </si>
  <si>
    <t xml:space="preserve">Activity factor</t>
  </si>
  <si>
    <t xml:space="preserve">Sedentary = 1.2 (Lightly 1.375, Moderately 1.55, Very 1.725)</t>
  </si>
  <si>
    <t xml:space="preserve">Calorie deficit (kcal/day)</t>
  </si>
  <si>
    <t xml:space="preserve">Moderate deficit, within the 300–500 range</t>
  </si>
  <si>
    <t xml:space="preserve">Protein (g per kg goal weight)</t>
  </si>
  <si>
    <t xml:space="preserve">Recommended range 1.0–1.2</t>
  </si>
  <si>
    <t xml:space="preserve">Minimum calorie floor (women)</t>
  </si>
  <si>
    <t xml:space="preserve">Never go below this</t>
  </si>
  <si>
    <t xml:space="preserve">BMR (kcal/day)</t>
  </si>
  <si>
    <t xml:space="preserve">10×weight + 6.25×height − 5×age − 161</t>
  </si>
  <si>
    <t xml:space="preserve">TDEE / maintenance (kcal/day)</t>
  </si>
  <si>
    <t xml:space="preserve">BMR × activity factor</t>
  </si>
  <si>
    <t xml:space="preserve">Daily calorie target (kcal/day)</t>
  </si>
  <si>
    <t xml:space="preserve">TDEE − deficit, rounded, kept above the floor</t>
  </si>
  <si>
    <t xml:space="preserve">Daily protein target (g)</t>
  </si>
  <si>
    <t xml:space="preserve">Goal weight × g/kg</t>
  </si>
  <si>
    <t xml:space="preserve">Expected loss (kg/week)</t>
  </si>
  <si>
    <t xml:space="preserve">1 kg of fat ≈ 7,700 kcal</t>
  </si>
  <si>
    <t xml:space="preserve">BMI (current)</t>
  </si>
  <si>
    <t xml:space="preserve">Weight ÷ height² (m)</t>
  </si>
  <si>
    <t xml:space="preserve">7-Day Tamil Nadu Lacto-Vegetarian Meal Plan (~1,400 kcal)</t>
  </si>
  <si>
    <t xml:space="preserve">kcal and protein are approximate estimates. Oil ~1 tsp per meal (3–4 tsp/day). Day total rows add up automatically.</t>
  </si>
  <si>
    <t xml:space="preserve">Day</t>
  </si>
  <si>
    <t xml:space="preserve">Meal</t>
  </si>
  <si>
    <t xml:space="preserve">Dish</t>
  </si>
  <si>
    <t xml:space="preserve">Portion (household measure)</t>
  </si>
  <si>
    <t xml:space="preserve">Approx. quantity (g/ml)</t>
  </si>
  <si>
    <t xml:space="preserve">Approx. kcal</t>
  </si>
  <si>
    <t xml:space="preserve">Protein (g)</t>
  </si>
  <si>
    <t xml:space="preserve">Day 1 (Mon)</t>
  </si>
  <si>
    <t xml:space="preserve">Breakfast</t>
  </si>
  <si>
    <t xml:space="preserve">Ragi dosa + tomato chutney + sambar + filter coffee</t>
  </si>
  <si>
    <t xml:space="preserve">2 medium dosas (½ tsp oil each), 2 tbsp chutney, 1 bowl sambar, 1 tumbler coffee</t>
  </si>
  <si>
    <t xml:space="preserve">120 g dosa, 30 g chutney, 150 ml sambar, 100 ml coffee</t>
  </si>
  <si>
    <t xml:space="preserve">Lunch (tiffin)</t>
  </si>
  <si>
    <t xml:space="preserve">Amaranth greens kootu + red rice + beans poriyal + curd</t>
  </si>
  <si>
    <t xml:space="preserve">1 cup kootu, ½ cup red rice, ½ cup poriyal, 1 bowl curd</t>
  </si>
  <si>
    <t xml:space="preserve">200 g kootu, 75 g rice, 75 g poriyal, 150 g curd</t>
  </si>
  <si>
    <t xml:space="preserve">Evening Snack</t>
  </si>
  <si>
    <t xml:space="preserve">Brown chickpea sundal + guava</t>
  </si>
  <si>
    <t xml:space="preserve">½ cup sundal, 1 medium guava</t>
  </si>
  <si>
    <t xml:space="preserve">80 g sundal, 150 g guava</t>
  </si>
  <si>
    <t xml:space="preserve">Dinner</t>
  </si>
  <si>
    <t xml:space="preserve">Chapati + paneer peas kurma + cucumber salad</t>
  </si>
  <si>
    <t xml:space="preserve">2 chapatis (no ghee), ½ cup kurma, 1 small plate salad</t>
  </si>
  <si>
    <t xml:space="preserve">60 g atta, 60 g paneer in 150 ml kurma, 80 g cucumber</t>
  </si>
  <si>
    <t xml:space="preserve">Day total</t>
  </si>
  <si>
    <t xml:space="preserve">Day 2 (Tue)</t>
  </si>
  <si>
    <t xml:space="preserve">Pesarattu + ginger chutney + filter coffee</t>
  </si>
  <si>
    <t xml:space="preserve">2 medium pesarattu, 2 tbsp chutney, 1 tumbler coffee</t>
  </si>
  <si>
    <t xml:space="preserve">160 g batter, 30 g chutney, 100 ml coffee</t>
  </si>
  <si>
    <t xml:space="preserve">Foxtail millet sambar rice + cucumber curd pachadi + buttermilk</t>
  </si>
  <si>
    <t xml:space="preserve">1½ cups sambar rice, ½ cup pachadi, 1 glass buttermilk</t>
  </si>
  <si>
    <t xml:space="preserve">300 g, 100 g, 200 ml</t>
  </si>
  <si>
    <t xml:space="preserve">Green gram sundal + orange</t>
  </si>
  <si>
    <t xml:space="preserve">¾ cup sundal, 1 orange</t>
  </si>
  <si>
    <t xml:space="preserve">120 g, 130 g</t>
  </si>
  <si>
    <t xml:space="preserve">Drumstick leaves adai + avial</t>
  </si>
  <si>
    <t xml:space="preserve">2 medium adai (1 tsp oil total), ½ cup avial</t>
  </si>
  <si>
    <t xml:space="preserve">180 g batter, 100 g avial</t>
  </si>
  <si>
    <t xml:space="preserve">Day 3 (Wed)</t>
  </si>
  <si>
    <t xml:space="preserve">Idli + sambar + mint chutney + filter coffee</t>
  </si>
  <si>
    <t xml:space="preserve">3 medium idlis, 1 bowl sambar, 2 tbsp chutney, 1 tumbler coffee</t>
  </si>
  <si>
    <t xml:space="preserve">150 g idli, 150 ml sambar, 30 g chutney, 100 ml coffee</t>
  </si>
  <si>
    <t xml:space="preserve">Pearl millet rice + brinjal dal kootu + carrot poriyal + curd</t>
  </si>
  <si>
    <t xml:space="preserve">½ cup pearl millet rice, 1 cup kootu, ½ cup poriyal, ½ bowl curd</t>
  </si>
  <si>
    <t xml:space="preserve">80 g, 200 g, 75 g, 100 g</t>
  </si>
  <si>
    <t xml:space="preserve">Boiled peanut sundal + papaya</t>
  </si>
  <si>
    <t xml:space="preserve">⅓ cup sundal, 1 cup papaya pieces</t>
  </si>
  <si>
    <t xml:space="preserve">50 g, 150 g</t>
  </si>
  <si>
    <t xml:space="preserve">Chapati + palak paneer + onion salad</t>
  </si>
  <si>
    <t xml:space="preserve">2 chapatis, ½ cup palak paneer, small plate salad</t>
  </si>
  <si>
    <t xml:space="preserve">60 g atta, 75 g paneer + 100 g spinach, 60 g salad</t>
  </si>
  <si>
    <t xml:space="preserve">Day 4 (Thu)</t>
  </si>
  <si>
    <t xml:space="preserve">Little millet pongal + tomato chutney + sambar + filter coffee</t>
  </si>
  <si>
    <t xml:space="preserve">¾ cup pongal (½ tsp ghee), 2 tbsp chutney, ½ bowl sambar, 1 tumbler coffee</t>
  </si>
  <si>
    <t xml:space="preserve">180 g pongal, 30 g chutney, 75 ml sambar, 100 ml coffee</t>
  </si>
  <si>
    <t xml:space="preserve">Tomato dal + red rice + ivy gourd poriyal + curd</t>
  </si>
  <si>
    <t xml:space="preserve">1 large bowl dal, ½ cup rice, ½ cup poriyal, 1 bowl curd</t>
  </si>
  <si>
    <t xml:space="preserve">200 ml, 75 g, 75 g, 150 g</t>
  </si>
  <si>
    <t xml:space="preserve">Black-eyed pea sundal + apple</t>
  </si>
  <si>
    <t xml:space="preserve">½ cup sundal, 1 small apple</t>
  </si>
  <si>
    <t xml:space="preserve">80 g, 130 g</t>
  </si>
  <si>
    <t xml:space="preserve">Ragi idiyappam + paneer vegetable kurma + drumstick leaves poriyal</t>
  </si>
  <si>
    <t xml:space="preserve">2 idiyappam, 1 bowl kurma, ¼ cup poriyal</t>
  </si>
  <si>
    <t xml:space="preserve">80 g, 75 g paneer in 150 ml kurma, 50 g poriyal</t>
  </si>
  <si>
    <t xml:space="preserve">Day 5 (Fri)</t>
  </si>
  <si>
    <t xml:space="preserve">Vegetable kuzhi paniyaram + sambar + filter coffee</t>
  </si>
  <si>
    <t xml:space="preserve">5 small paniyaram (1 tsp oil), 1 bowl sambar, 1 tumbler coffee</t>
  </si>
  <si>
    <t xml:space="preserve">125 g, 150 ml, 100 ml</t>
  </si>
  <si>
    <t xml:space="preserve">Kodo millet curd rice with cucumber + moong dal kosambari + beetroot-carrot salad</t>
  </si>
  <si>
    <t xml:space="preserve">1½ cups curd rice, ½ cup kosambari, ½ cup salad</t>
  </si>
  <si>
    <t xml:space="preserve">300 g (with 200 g curd), 60 g, 80 g</t>
  </si>
  <si>
    <t xml:space="preserve">Sprouted green gram salad + roasted gram + papaya</t>
  </si>
  <si>
    <t xml:space="preserve">1 cup sprouts, 1 tbsp roasted gram, 1 cup papaya</t>
  </si>
  <si>
    <t xml:space="preserve">100 g, 15 g, 150 g</t>
  </si>
  <si>
    <t xml:space="preserve">Chapati + whole green gram kuzhambu + onion-cucumber salad</t>
  </si>
  <si>
    <t xml:space="preserve">2 chapatis, 1 large bowl kuzhambu, small plate salad</t>
  </si>
  <si>
    <t xml:space="preserve">60 g atta, 200 ml, 60 g</t>
  </si>
  <si>
    <t xml:space="preserve">Day 6 (Sat)</t>
  </si>
  <si>
    <t xml:space="preserve">Foxtail millet vegetable upma + coconut-roasted gram chutney + filter coffee</t>
  </si>
  <si>
    <t xml:space="preserve">¾ cup upma, 2 tbsp chutney, 1 tumbler coffee</t>
  </si>
  <si>
    <t xml:space="preserve">150 g, 30 g, 100 ml</t>
  </si>
  <si>
    <t xml:space="preserve">Lunch (home)</t>
  </si>
  <si>
    <t xml:space="preserve">Drumstick sambar + red rice + avial + rasam + curd</t>
  </si>
  <si>
    <t xml:space="preserve">1 large bowl sambar, ½ cup rice, ½ cup avial, 1 small bowl rasam, ½ bowl curd</t>
  </si>
  <si>
    <t xml:space="preserve">200 ml, 75 g, 100 g, 100 ml, 100 g</t>
  </si>
  <si>
    <t xml:space="preserve">Boiled peanut sundal + spiced buttermilk</t>
  </si>
  <si>
    <t xml:space="preserve">⅓ cup sundal, 1 glass buttermilk</t>
  </si>
  <si>
    <t xml:space="preserve">50 g, 200 ml</t>
  </si>
  <si>
    <t xml:space="preserve">Wheat dosa + Chettinad paneer masala</t>
  </si>
  <si>
    <t xml:space="preserve">2 dosas (1 tsp oil total), ½ cup masala</t>
  </si>
  <si>
    <t xml:space="preserve">70 g atta, 75 g paneer in 120 ml gravy</t>
  </si>
  <si>
    <t xml:space="preserve">Day 7 (Sun)</t>
  </si>
  <si>
    <t xml:space="preserve">Idli + medu vada (WEEKLY TREAT, 1 small) + sambar + coconut chutney + filter coffee</t>
  </si>
  <si>
    <t xml:space="preserve">3 medium idlis, 1 small vada, 1 bowl sambar, 2 tbsp chutney, 1 tumbler coffee</t>
  </si>
  <si>
    <t xml:space="preserve">150 g, 40 g, 150 ml, 30 g, 100 ml</t>
  </si>
  <si>
    <t xml:space="preserve">Mor kuzhambu + red rice + beans paruppu usili + Malabar spinach poriyal + rasam</t>
  </si>
  <si>
    <t xml:space="preserve">1 bowl kuzhambu, ½ cup rice, ½ cup usili, ¼ cup poriyal, 1 small bowl rasam</t>
  </si>
  <si>
    <t xml:space="preserve">150 ml, 75 g, 100 g, 50 g, 100 ml</t>
  </si>
  <si>
    <t xml:space="preserve">Moong dal vegetable khichdi + cucumber raita</t>
  </si>
  <si>
    <t xml:space="preserve">1 cup khichdi, ½ cup raita</t>
  </si>
  <si>
    <t xml:space="preserve">200 g, 100 g</t>
  </si>
  <si>
    <t xml:space="preserve">Weekly average / day</t>
  </si>
  <si>
    <t xml:space="preserve">Target (from Energy Target)</t>
  </si>
  <si>
    <t xml:space="preserve">Blue numbers are estimates you can edit; day totals and averages recalculate automatically.</t>
  </si>
  <si>
    <t xml:space="preserve">Weekly Snapshot</t>
  </si>
  <si>
    <t xml:space="preserve">Totals are linked from the Meal Plan sheet (green).</t>
  </si>
  <si>
    <t xml:space="preserve">Total kcal</t>
  </si>
  <si>
    <t xml:space="preserve">Total protein (g)</t>
  </si>
  <si>
    <t xml:space="preserve">vs kcal target</t>
  </si>
  <si>
    <t xml:space="preserve">Millet/whole-grain used</t>
  </si>
  <si>
    <t xml:space="preserve">Greens/vegetables used</t>
  </si>
  <si>
    <t xml:space="preserve">Ragi, red rice, wheat</t>
  </si>
  <si>
    <t xml:space="preserve">Amaranth greens, beans, cucumber, peas</t>
  </si>
  <si>
    <t xml:space="preserve">Foxtail millet</t>
  </si>
  <si>
    <t xml:space="preserve">Drumstick leaves, avial vegetables, cucumber</t>
  </si>
  <si>
    <t xml:space="preserve">Pearl millet, wheat</t>
  </si>
  <si>
    <t xml:space="preserve">Spinach, brinjal, carrot</t>
  </si>
  <si>
    <t xml:space="preserve">Little millet, ragi, red rice</t>
  </si>
  <si>
    <t xml:space="preserve">Drumstick leaves, ivy gourd, tomato</t>
  </si>
  <si>
    <t xml:space="preserve">Kodo millet, wheat</t>
  </si>
  <si>
    <t xml:space="preserve">Beetroot, carrot, cucumber</t>
  </si>
  <si>
    <t xml:space="preserve">Foxtail millet, red rice</t>
  </si>
  <si>
    <t xml:space="preserve">Drumsticks, avial vegetables</t>
  </si>
  <si>
    <t xml:space="preserve">Red rice</t>
  </si>
  <si>
    <t xml:space="preserve">Malabar spinach, beans, cucumber</t>
  </si>
  <si>
    <t xml:space="preserve">Average</t>
  </si>
  <si>
    <t xml:space="preserve">Note: Protein averages ~60 g, a little under the 65 g target. Adding 1 extra bowl of curd or 1 glass of buttermilk a day (~50 kcal) closes the gap.</t>
  </si>
  <si>
    <t xml:space="preserve">Grocery List for the Week (1 person)</t>
  </si>
  <si>
    <t xml:space="preserve">Tick the Bought? column as you shop.</t>
  </si>
  <si>
    <t xml:space="preserve">Category</t>
  </si>
  <si>
    <t xml:space="preserve">Approx. quantity</t>
  </si>
  <si>
    <t xml:space="preserve">Bought?</t>
  </si>
  <si>
    <t xml:space="preserve">Grains &amp; Millets</t>
  </si>
  <si>
    <t xml:space="preserve">Ragi flour</t>
  </si>
  <si>
    <t xml:space="preserve">250 g</t>
  </si>
  <si>
    <t xml:space="preserve">Foxtail millet (thinai)</t>
  </si>
  <si>
    <t xml:space="preserve">400 g</t>
  </si>
  <si>
    <t xml:space="preserve">Pearl millet (kambu)</t>
  </si>
  <si>
    <t xml:space="preserve">150 g</t>
  </si>
  <si>
    <t xml:space="preserve">Little millet (samai)</t>
  </si>
  <si>
    <t xml:space="preserve">200 g</t>
  </si>
  <si>
    <t xml:space="preserve">Kodo millet (varagu)</t>
  </si>
  <si>
    <t xml:space="preserve">500 g</t>
  </si>
  <si>
    <t xml:space="preserve">Idli/dosa batter (or 400 g idli rice + 100 g urad dal)</t>
  </si>
  <si>
    <t xml:space="preserve">1 kg</t>
  </si>
  <si>
    <t xml:space="preserve">Whole wheat atta</t>
  </si>
  <si>
    <t xml:space="preserve">Parboiled rice (for adai)</t>
  </si>
  <si>
    <t xml:space="preserve">100 g</t>
  </si>
  <si>
    <t xml:space="preserve">Pulses &amp; Dals</t>
  </si>
  <si>
    <t xml:space="preserve">Toor dal</t>
  </si>
  <si>
    <t xml:space="preserve">300 g</t>
  </si>
  <si>
    <t xml:space="preserve">Moong dal (split)</t>
  </si>
  <si>
    <t xml:space="preserve">Whole green gram</t>
  </si>
  <si>
    <t xml:space="preserve">Brown chickpeas</t>
  </si>
  <si>
    <t xml:space="preserve">Black-eyed peas</t>
  </si>
  <si>
    <t xml:space="preserve">Chana dal</t>
  </si>
  <si>
    <t xml:space="preserve">Urad dal</t>
  </si>
  <si>
    <t xml:space="preserve">Roasted gram</t>
  </si>
  <si>
    <t xml:space="preserve">Vegetables &amp; Greens</t>
  </si>
  <si>
    <t xml:space="preserve">Tomatoes</t>
  </si>
  <si>
    <t xml:space="preserve">1.5 kg</t>
  </si>
  <si>
    <t xml:space="preserve">Onions</t>
  </si>
  <si>
    <t xml:space="preserve">Carrots</t>
  </si>
  <si>
    <t xml:space="preserve">Beans</t>
  </si>
  <si>
    <t xml:space="preserve">Brinjal</t>
  </si>
  <si>
    <t xml:space="preserve">Ivy gourd</t>
  </si>
  <si>
    <t xml:space="preserve">Beetroot</t>
  </si>
  <si>
    <t xml:space="preserve">Cucumbers</t>
  </si>
  <si>
    <t xml:space="preserve">4</t>
  </si>
  <si>
    <t xml:space="preserve">Drumsticks</t>
  </si>
  <si>
    <t xml:space="preserve">3</t>
  </si>
  <si>
    <t xml:space="preserve">Capsicum</t>
  </si>
  <si>
    <t xml:space="preserve">1</t>
  </si>
  <si>
    <t xml:space="preserve">Green peas</t>
  </si>
  <si>
    <t xml:space="preserve">Avial vegetables (chayote / ash gourd / carrot)</t>
  </si>
  <si>
    <t xml:space="preserve">Amaranth greens</t>
  </si>
  <si>
    <t xml:space="preserve">1 bunch</t>
  </si>
  <si>
    <t xml:space="preserve">Drumstick leaves</t>
  </si>
  <si>
    <t xml:space="preserve">2 bunches</t>
  </si>
  <si>
    <t xml:space="preserve">Spinach (palak)</t>
  </si>
  <si>
    <t xml:space="preserve">Malabar spinach</t>
  </si>
  <si>
    <t xml:space="preserve">Lemons</t>
  </si>
  <si>
    <t xml:space="preserve">Ginger, garlic, green chillies, curry leaves, coriander, mint</t>
  </si>
  <si>
    <t xml:space="preserve">As needed</t>
  </si>
  <si>
    <t xml:space="preserve">Fruits</t>
  </si>
  <si>
    <t xml:space="preserve">Guava</t>
  </si>
  <si>
    <t xml:space="preserve">Oranges</t>
  </si>
  <si>
    <t xml:space="preserve">2</t>
  </si>
  <si>
    <t xml:space="preserve">Papaya</t>
  </si>
  <si>
    <t xml:space="preserve">1 small</t>
  </si>
  <si>
    <t xml:space="preserve">Apple</t>
  </si>
  <si>
    <t xml:space="preserve">Dairy</t>
  </si>
  <si>
    <t xml:space="preserve">Toned milk</t>
  </si>
  <si>
    <t xml:space="preserve">1.5 L</t>
  </si>
  <si>
    <t xml:space="preserve">Curd</t>
  </si>
  <si>
    <t xml:space="preserve">~1.2 kg</t>
  </si>
  <si>
    <t xml:space="preserve">Paneer</t>
  </si>
  <si>
    <t xml:space="preserve">Ghee</t>
  </si>
  <si>
    <t xml:space="preserve">50 g</t>
  </si>
  <si>
    <t xml:space="preserve">Nuts &amp; Seeds</t>
  </si>
  <si>
    <t xml:space="preserve">Raw peanuts</t>
  </si>
  <si>
    <t xml:space="preserve">Coconut</t>
  </si>
  <si>
    <t xml:space="preserve">½ coconut</t>
  </si>
  <si>
    <t xml:space="preserve">Mustard seeds</t>
  </si>
  <si>
    <t xml:space="preserve">Spices &amp; Others</t>
  </si>
  <si>
    <t xml:space="preserve">Sambar powder, rasam powder, Chettinad masala powder</t>
  </si>
  <si>
    <t xml:space="preserve">1 small pack each</t>
  </si>
  <si>
    <t xml:space="preserve">Turmeric, cumin, pepper, asafoetida</t>
  </si>
  <si>
    <t xml:space="preserve">Tamarind</t>
  </si>
  <si>
    <t xml:space="preserve">Cold-pressed sesame / groundnut oil</t>
  </si>
  <si>
    <t xml:space="preserve">~150 ml</t>
  </si>
  <si>
    <t xml:space="preserve">Filter coffee powder</t>
  </si>
  <si>
    <t xml:space="preserve">Salt</t>
  </si>
  <si>
    <t xml:space="preserve">Smart Swaps, Prep-Ahead Tips &amp; Daily Habits</t>
  </si>
  <si>
    <t xml:space="preserve">Smart Swaps</t>
  </si>
  <si>
    <t xml:space="preserve">Foxtail ↔ little ↔ kodo millet: they cook the same way, so use whichever is available.</t>
  </si>
  <si>
    <t xml:space="preserve">Paneer ↔ hung curd (thick curd): add it at the end of the gravy and don't boil it.</t>
  </si>
  <si>
    <t xml:space="preserve">Drumstick leaves ↔ amaranth greens ↔ small-leaf amaranth: interchangeable in adai, poriyal and kootu.</t>
  </si>
  <si>
    <t xml:space="preserve">Brown chickpeas ↔ black-eyed peas ↔ field beans: same quantity for sundal.</t>
  </si>
  <si>
    <t xml:space="preserve">Red rice ↔ hand-pounded rice ↔ ½ ponni + ½ foxtail millet: keep the portion at ½ cup.</t>
  </si>
  <si>
    <t xml:space="preserve">Papaya ↔ guava ↔ orange: pick whatever is in season and affordable.</t>
  </si>
  <si>
    <t xml:space="preserve">Prep-Ahead Tips</t>
  </si>
  <si>
    <t xml:space="preserve">Grind idli/dosa batter on Sunday and Wednesday. Mix in ragi flour for ragi dosa.</t>
  </si>
  <si>
    <t xml:space="preserve">Before bed, soak chickpeas / black-eyed peas / green gram for the next day's sundal. Soak green gram 2 days ahead for sprouts.</t>
  </si>
  <si>
    <t xml:space="preserve">Make sambar and dal for 2 meals at a time (breakfast sambar also covers lunch; kuzhambu covers dinner). They keep 2 days in the fridge.</t>
  </si>
  <si>
    <t xml:space="preserve">Chop vegetables (beans, carrot, ivy gourd, beetroot) on the weekend and store them airtight so weekday poriyal takes 10 minutes.</t>
  </si>
  <si>
    <t xml:space="preserve">Soak foxtail, kodo and little millet for 20 minutes in the morning so they cook faster. For tiffin curd rice, add the curd last so it doesn't turn sour.</t>
  </si>
  <si>
    <t xml:space="preserve">Daily Wellness Habits</t>
  </si>
  <si>
    <t xml:space="preserve">Water: 2.5–3 L a day. 1 glass before each meal; buttermilk counts too.</t>
  </si>
  <si>
    <t xml:space="preserve">Sleep: 7–8 hours, going to bed and waking at a fixed time.</t>
  </si>
  <si>
    <t xml:space="preserve">Walking: 10–15 minutes after each meal. Start with 4,000 steps a day for 2 weeks, then build slowly to 7,000–8,000.</t>
  </si>
  <si>
    <t xml:space="preserve">Mindful eating: use smaller plates and bowls, eat slowly without phone/TV, stop when about 80% full.</t>
  </si>
  <si>
    <t xml:space="preserve">Coffee/tea: at most 2 tumblers a day, toned milk, no sugar (or no more than ½ tsp). Skip the biscuits.</t>
  </si>
  <si>
    <t xml:space="preserve">Weekly check: weigh yourself once a week, same day and time — not daily.</t>
  </si>
  <si>
    <t xml:space="preserve">Important Note</t>
  </si>
  <si>
    <t xml:space="preserve">This is general guidance only, not medical advice. Because your BMI is about 39.5, get a basic check-up from a doctor (thyroid, blood sugar, BP, haemoglobin) before starting, and consult a registered dietitian to fine-tune portions for your body.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</si>
</sst>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\+#,##0;\-#,##0;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5C4A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008000"/>
      <name val="Arial"/>
      <family val="0"/>
      <charset val="1"/>
    </font>
    <font>
      <i val="true"/>
      <sz val="9"/>
      <name val="Arial"/>
      <family val="0"/>
      <charset val="1"/>
    </font>
    <font>
      <sz val="11"/>
      <color rgb="FF008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5C4A"/>
        <bgColor rgb="FF595959"/>
      </patternFill>
    </fill>
    <fill>
      <patternFill patternType="solid">
        <fgColor rgb="FFFFFF00"/>
        <bgColor rgb="FFFFFF00"/>
      </patternFill>
    </fill>
    <fill>
      <patternFill patternType="solid">
        <fgColor rgb="FFEAF4EF"/>
        <bgColor rgb="FFFFFFFF"/>
      </patternFill>
    </fill>
    <fill>
      <patternFill patternType="solid">
        <fgColor rgb="FFFFF2CC"/>
        <bgColor rgb="FFEAF4EF"/>
      </patternFill>
    </fill>
    <fill>
      <patternFill patternType="solid">
        <fgColor rgb="FFFFFFFF"/>
        <bgColor rgb="FFEAF4E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5C4A"/>
          <bgColor rgb="FF000000"/>
        </patternFill>
      </fill>
    </dxf>
    <dxf>
      <fill>
        <patternFill patternType="solid">
          <fgColor rgb="FFEAF4E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AF4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5C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4"/>
    <col collapsed="false" customWidth="true" hidden="false" outlineLevel="0" max="3" min="3" style="0" width="6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3.75" hidden="false" customHeight="tru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4" t="s">
        <v>5</v>
      </c>
      <c r="B5" s="5" t="n">
        <v>40</v>
      </c>
      <c r="C5" s="4" t="s">
        <v>6</v>
      </c>
    </row>
    <row r="6" customFormat="false" ht="15" hidden="false" customHeight="false" outlineLevel="0" collapsed="false">
      <c r="A6" s="4" t="s">
        <v>7</v>
      </c>
      <c r="B6" s="5" t="n">
        <v>155</v>
      </c>
      <c r="C6" s="4" t="s">
        <v>8</v>
      </c>
    </row>
    <row r="7" customFormat="false" ht="15" hidden="false" customHeight="false" outlineLevel="0" collapsed="false">
      <c r="A7" s="4" t="s">
        <v>9</v>
      </c>
      <c r="B7" s="5" t="n">
        <v>95</v>
      </c>
      <c r="C7" s="4" t="s">
        <v>6</v>
      </c>
    </row>
    <row r="8" customFormat="false" ht="15" hidden="false" customHeight="false" outlineLevel="0" collapsed="false">
      <c r="A8" s="4" t="s">
        <v>10</v>
      </c>
      <c r="B8" s="5" t="n">
        <v>64</v>
      </c>
      <c r="C8" s="4" t="s">
        <v>6</v>
      </c>
    </row>
    <row r="9" customFormat="false" ht="15" hidden="false" customHeight="false" outlineLevel="0" collapsed="false">
      <c r="A9" s="4" t="s">
        <v>11</v>
      </c>
      <c r="B9" s="5" t="n">
        <v>1.2</v>
      </c>
      <c r="C9" s="4" t="s">
        <v>12</v>
      </c>
    </row>
    <row r="10" customFormat="false" ht="15" hidden="false" customHeight="false" outlineLevel="0" collapsed="false">
      <c r="A10" s="4" t="s">
        <v>13</v>
      </c>
      <c r="B10" s="5" t="n">
        <v>470</v>
      </c>
      <c r="C10" s="4" t="s">
        <v>14</v>
      </c>
    </row>
    <row r="11" customFormat="false" ht="15" hidden="false" customHeight="false" outlineLevel="0" collapsed="false">
      <c r="A11" s="4" t="s">
        <v>15</v>
      </c>
      <c r="B11" s="5" t="n">
        <v>1</v>
      </c>
      <c r="C11" s="4" t="s">
        <v>16</v>
      </c>
    </row>
    <row r="12" customFormat="false" ht="15" hidden="false" customHeight="false" outlineLevel="0" collapsed="false">
      <c r="A12" s="4" t="s">
        <v>17</v>
      </c>
      <c r="B12" s="5" t="n">
        <v>1200</v>
      </c>
      <c r="C12" s="4" t="s">
        <v>18</v>
      </c>
    </row>
    <row r="13" customFormat="false" ht="15" hidden="false" customHeight="false" outlineLevel="0" collapsed="false">
      <c r="A13" s="6" t="s">
        <v>19</v>
      </c>
      <c r="B13" s="6" t="n">
        <f aca="false">ROUND(10*B7+6.25*B6-5*B5-161,-1)</f>
        <v>1560</v>
      </c>
      <c r="C13" s="4" t="s">
        <v>20</v>
      </c>
    </row>
    <row r="14" customFormat="false" ht="15" hidden="false" customHeight="false" outlineLevel="0" collapsed="false">
      <c r="A14" s="6" t="s">
        <v>21</v>
      </c>
      <c r="B14" s="6" t="n">
        <f aca="false">ROUND(B13*B9,-1)</f>
        <v>1870</v>
      </c>
      <c r="C14" s="4" t="s">
        <v>22</v>
      </c>
    </row>
    <row r="15" customFormat="false" ht="15" hidden="false" customHeight="false" outlineLevel="0" collapsed="false">
      <c r="A15" s="6" t="s">
        <v>23</v>
      </c>
      <c r="B15" s="6" t="n">
        <f aca="false">MAX(ROUND(B14-B10,-2),B12)</f>
        <v>1400</v>
      </c>
      <c r="C15" s="4" t="s">
        <v>24</v>
      </c>
    </row>
    <row r="16" customFormat="false" ht="15" hidden="false" customHeight="false" outlineLevel="0" collapsed="false">
      <c r="A16" s="6" t="s">
        <v>25</v>
      </c>
      <c r="B16" s="6" t="n">
        <f aca="false">ROUND(B8*B11,0)</f>
        <v>64</v>
      </c>
      <c r="C16" s="4" t="s">
        <v>26</v>
      </c>
    </row>
    <row r="17" customFormat="false" ht="15" hidden="false" customHeight="false" outlineLevel="0" collapsed="false">
      <c r="A17" s="6" t="s">
        <v>27</v>
      </c>
      <c r="B17" s="6" t="n">
        <f aca="false">ROUND((B14-B15)*7/7700,2)</f>
        <v>0.43</v>
      </c>
      <c r="C17" s="4" t="s">
        <v>28</v>
      </c>
    </row>
    <row r="18" customFormat="false" ht="15" hidden="false" customHeight="false" outlineLevel="0" collapsed="false">
      <c r="A18" s="6" t="s">
        <v>29</v>
      </c>
      <c r="B18" s="6" t="n">
        <f aca="false">ROUND(B7/(B6/100)^2,1)</f>
        <v>39.5</v>
      </c>
      <c r="C18" s="4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0"/>
    <col collapsed="false" customWidth="true" hidden="false" outlineLevel="0" max="3" min="3" style="0" width="46"/>
    <col collapsed="false" customWidth="true" hidden="false" outlineLevel="0" max="4" min="4" style="0" width="50"/>
    <col collapsed="false" customWidth="true" hidden="false" outlineLevel="0" max="5" min="5" style="0" width="42"/>
    <col collapsed="false" customWidth="true" hidden="false" outlineLevel="0" max="6" min="6" style="0" width="12"/>
    <col collapsed="false" customWidth="true" hidden="false" outlineLevel="0" max="7" min="7" style="0" width="13"/>
  </cols>
  <sheetData>
    <row r="1" customFormat="false" ht="17.35" hidden="false" customHeight="false" outlineLevel="0" collapsed="false">
      <c r="A1" s="1" t="s">
        <v>31</v>
      </c>
    </row>
    <row r="2" customFormat="false" ht="15" hidden="false" customHeight="false" outlineLevel="0" collapsed="false">
      <c r="A2" s="2" t="s">
        <v>32</v>
      </c>
    </row>
    <row r="4" customFormat="false" ht="33.75" hidden="false" customHeight="true" outlineLevel="0" collapsed="false">
      <c r="A4" s="3" t="s">
        <v>33</v>
      </c>
      <c r="B4" s="3" t="s">
        <v>34</v>
      </c>
      <c r="C4" s="3" t="s">
        <v>35</v>
      </c>
      <c r="D4" s="3" t="s">
        <v>36</v>
      </c>
      <c r="E4" s="3" t="s">
        <v>37</v>
      </c>
      <c r="F4" s="3" t="s">
        <v>38</v>
      </c>
      <c r="G4" s="3" t="s">
        <v>39</v>
      </c>
    </row>
    <row r="5" customFormat="false" ht="26.85" hidden="false" customHeight="false" outlineLevel="0" collapsed="false">
      <c r="A5" s="7" t="s">
        <v>40</v>
      </c>
      <c r="B5" s="7" t="s">
        <v>41</v>
      </c>
      <c r="C5" s="7" t="s">
        <v>42</v>
      </c>
      <c r="D5" s="7" t="s">
        <v>43</v>
      </c>
      <c r="E5" s="7" t="s">
        <v>44</v>
      </c>
      <c r="F5" s="8" t="n">
        <v>390</v>
      </c>
      <c r="G5" s="8" t="n">
        <v>15</v>
      </c>
    </row>
    <row r="6" customFormat="false" ht="26.85" hidden="false" customHeight="false" outlineLevel="0" collapsed="false">
      <c r="A6" s="7" t="s">
        <v>40</v>
      </c>
      <c r="B6" s="7" t="s">
        <v>45</v>
      </c>
      <c r="C6" s="7" t="s">
        <v>46</v>
      </c>
      <c r="D6" s="7" t="s">
        <v>47</v>
      </c>
      <c r="E6" s="7" t="s">
        <v>48</v>
      </c>
      <c r="F6" s="8" t="n">
        <v>420</v>
      </c>
      <c r="G6" s="8" t="n">
        <v>18</v>
      </c>
    </row>
    <row r="7" customFormat="false" ht="15" hidden="false" customHeight="false" outlineLevel="0" collapsed="false">
      <c r="A7" s="7" t="s">
        <v>40</v>
      </c>
      <c r="B7" s="7" t="s">
        <v>49</v>
      </c>
      <c r="C7" s="7" t="s">
        <v>50</v>
      </c>
      <c r="D7" s="7" t="s">
        <v>51</v>
      </c>
      <c r="E7" s="7" t="s">
        <v>52</v>
      </c>
      <c r="F7" s="8" t="n">
        <v>210</v>
      </c>
      <c r="G7" s="8" t="n">
        <v>9</v>
      </c>
    </row>
    <row r="8" customFormat="false" ht="26.85" hidden="false" customHeight="false" outlineLevel="0" collapsed="false">
      <c r="A8" s="7" t="s">
        <v>40</v>
      </c>
      <c r="B8" s="7" t="s">
        <v>53</v>
      </c>
      <c r="C8" s="7" t="s">
        <v>54</v>
      </c>
      <c r="D8" s="7" t="s">
        <v>55</v>
      </c>
      <c r="E8" s="7" t="s">
        <v>56</v>
      </c>
      <c r="F8" s="8" t="n">
        <v>440</v>
      </c>
      <c r="G8" s="8" t="n">
        <v>20</v>
      </c>
    </row>
    <row r="9" customFormat="false" ht="15" hidden="false" customHeight="false" outlineLevel="0" collapsed="false">
      <c r="A9" s="9" t="s">
        <v>40</v>
      </c>
      <c r="B9" s="9" t="s">
        <v>57</v>
      </c>
      <c r="C9" s="9"/>
      <c r="D9" s="9"/>
      <c r="E9" s="9"/>
      <c r="F9" s="9" t="n">
        <f aca="false">SUM(F5:F8)</f>
        <v>1460</v>
      </c>
      <c r="G9" s="9" t="n">
        <f aca="false">SUM(G5:G8)</f>
        <v>62</v>
      </c>
    </row>
    <row r="10" customFormat="false" ht="15" hidden="false" customHeight="false" outlineLevel="0" collapsed="false">
      <c r="A10" s="10" t="s">
        <v>58</v>
      </c>
      <c r="B10" s="10" t="s">
        <v>41</v>
      </c>
      <c r="C10" s="10" t="s">
        <v>59</v>
      </c>
      <c r="D10" s="10" t="s">
        <v>60</v>
      </c>
      <c r="E10" s="10" t="s">
        <v>61</v>
      </c>
      <c r="F10" s="11" t="n">
        <v>350</v>
      </c>
      <c r="G10" s="11" t="n">
        <v>18</v>
      </c>
    </row>
    <row r="11" customFormat="false" ht="26.85" hidden="false" customHeight="false" outlineLevel="0" collapsed="false">
      <c r="A11" s="10" t="s">
        <v>58</v>
      </c>
      <c r="B11" s="10" t="s">
        <v>45</v>
      </c>
      <c r="C11" s="10" t="s">
        <v>62</v>
      </c>
      <c r="D11" s="10" t="s">
        <v>63</v>
      </c>
      <c r="E11" s="10" t="s">
        <v>64</v>
      </c>
      <c r="F11" s="11" t="n">
        <v>490</v>
      </c>
      <c r="G11" s="11" t="n">
        <v>19</v>
      </c>
    </row>
    <row r="12" customFormat="false" ht="15" hidden="false" customHeight="false" outlineLevel="0" collapsed="false">
      <c r="A12" s="10" t="s">
        <v>58</v>
      </c>
      <c r="B12" s="10" t="s">
        <v>49</v>
      </c>
      <c r="C12" s="10" t="s">
        <v>65</v>
      </c>
      <c r="D12" s="10" t="s">
        <v>66</v>
      </c>
      <c r="E12" s="10" t="s">
        <v>67</v>
      </c>
      <c r="F12" s="11" t="n">
        <v>190</v>
      </c>
      <c r="G12" s="11" t="n">
        <v>10</v>
      </c>
    </row>
    <row r="13" customFormat="false" ht="15" hidden="false" customHeight="false" outlineLevel="0" collapsed="false">
      <c r="A13" s="10" t="s">
        <v>58</v>
      </c>
      <c r="B13" s="10" t="s">
        <v>53</v>
      </c>
      <c r="C13" s="10" t="s">
        <v>68</v>
      </c>
      <c r="D13" s="10" t="s">
        <v>69</v>
      </c>
      <c r="E13" s="10" t="s">
        <v>70</v>
      </c>
      <c r="F13" s="11" t="n">
        <v>410</v>
      </c>
      <c r="G13" s="11" t="n">
        <v>15</v>
      </c>
    </row>
    <row r="14" customFormat="false" ht="15" hidden="false" customHeight="false" outlineLevel="0" collapsed="false">
      <c r="A14" s="9" t="s">
        <v>58</v>
      </c>
      <c r="B14" s="9" t="s">
        <v>57</v>
      </c>
      <c r="C14" s="9"/>
      <c r="D14" s="9"/>
      <c r="E14" s="9"/>
      <c r="F14" s="9" t="n">
        <f aca="false">SUM(F10:F13)</f>
        <v>1440</v>
      </c>
      <c r="G14" s="9" t="n">
        <f aca="false">SUM(G10:G13)</f>
        <v>62</v>
      </c>
    </row>
    <row r="15" customFormat="false" ht="26.85" hidden="false" customHeight="false" outlineLevel="0" collapsed="false">
      <c r="A15" s="7" t="s">
        <v>71</v>
      </c>
      <c r="B15" s="7" t="s">
        <v>41</v>
      </c>
      <c r="C15" s="7" t="s">
        <v>72</v>
      </c>
      <c r="D15" s="7" t="s">
        <v>73</v>
      </c>
      <c r="E15" s="7" t="s">
        <v>74</v>
      </c>
      <c r="F15" s="8" t="n">
        <v>380</v>
      </c>
      <c r="G15" s="8" t="n">
        <v>16</v>
      </c>
    </row>
    <row r="16" customFormat="false" ht="26.85" hidden="false" customHeight="false" outlineLevel="0" collapsed="false">
      <c r="A16" s="7" t="s">
        <v>71</v>
      </c>
      <c r="B16" s="7" t="s">
        <v>45</v>
      </c>
      <c r="C16" s="7" t="s">
        <v>75</v>
      </c>
      <c r="D16" s="7" t="s">
        <v>76</v>
      </c>
      <c r="E16" s="7" t="s">
        <v>77</v>
      </c>
      <c r="F16" s="8" t="n">
        <v>390</v>
      </c>
      <c r="G16" s="8" t="n">
        <v>15</v>
      </c>
    </row>
    <row r="17" customFormat="false" ht="15" hidden="false" customHeight="false" outlineLevel="0" collapsed="false">
      <c r="A17" s="7" t="s">
        <v>71</v>
      </c>
      <c r="B17" s="7" t="s">
        <v>49</v>
      </c>
      <c r="C17" s="7" t="s">
        <v>78</v>
      </c>
      <c r="D17" s="7" t="s">
        <v>79</v>
      </c>
      <c r="E17" s="7" t="s">
        <v>80</v>
      </c>
      <c r="F17" s="8" t="n">
        <v>200</v>
      </c>
      <c r="G17" s="8" t="n">
        <v>8</v>
      </c>
    </row>
    <row r="18" customFormat="false" ht="26.85" hidden="false" customHeight="false" outlineLevel="0" collapsed="false">
      <c r="A18" s="7" t="s">
        <v>71</v>
      </c>
      <c r="B18" s="7" t="s">
        <v>53</v>
      </c>
      <c r="C18" s="7" t="s">
        <v>81</v>
      </c>
      <c r="D18" s="7" t="s">
        <v>82</v>
      </c>
      <c r="E18" s="7" t="s">
        <v>83</v>
      </c>
      <c r="F18" s="8" t="n">
        <v>450</v>
      </c>
      <c r="G18" s="8" t="n">
        <v>22</v>
      </c>
    </row>
    <row r="19" customFormat="false" ht="15" hidden="false" customHeight="false" outlineLevel="0" collapsed="false">
      <c r="A19" s="9" t="s">
        <v>71</v>
      </c>
      <c r="B19" s="9" t="s">
        <v>57</v>
      </c>
      <c r="C19" s="9"/>
      <c r="D19" s="9"/>
      <c r="E19" s="9"/>
      <c r="F19" s="9" t="n">
        <f aca="false">SUM(F15:F18)</f>
        <v>1420</v>
      </c>
      <c r="G19" s="9" t="n">
        <f aca="false">SUM(G15:G18)</f>
        <v>61</v>
      </c>
    </row>
    <row r="20" customFormat="false" ht="26.85" hidden="false" customHeight="false" outlineLevel="0" collapsed="false">
      <c r="A20" s="10" t="s">
        <v>84</v>
      </c>
      <c r="B20" s="10" t="s">
        <v>41</v>
      </c>
      <c r="C20" s="10" t="s">
        <v>85</v>
      </c>
      <c r="D20" s="10" t="s">
        <v>86</v>
      </c>
      <c r="E20" s="10" t="s">
        <v>87</v>
      </c>
      <c r="F20" s="11" t="n">
        <v>390</v>
      </c>
      <c r="G20" s="11" t="n">
        <v>15</v>
      </c>
    </row>
    <row r="21" customFormat="false" ht="26.85" hidden="false" customHeight="false" outlineLevel="0" collapsed="false">
      <c r="A21" s="10" t="s">
        <v>84</v>
      </c>
      <c r="B21" s="10" t="s">
        <v>45</v>
      </c>
      <c r="C21" s="10" t="s">
        <v>88</v>
      </c>
      <c r="D21" s="10" t="s">
        <v>89</v>
      </c>
      <c r="E21" s="10" t="s">
        <v>90</v>
      </c>
      <c r="F21" s="11" t="n">
        <v>430</v>
      </c>
      <c r="G21" s="11" t="n">
        <v>18</v>
      </c>
    </row>
    <row r="22" customFormat="false" ht="15" hidden="false" customHeight="false" outlineLevel="0" collapsed="false">
      <c r="A22" s="10" t="s">
        <v>84</v>
      </c>
      <c r="B22" s="10" t="s">
        <v>49</v>
      </c>
      <c r="C22" s="10" t="s">
        <v>91</v>
      </c>
      <c r="D22" s="10" t="s">
        <v>92</v>
      </c>
      <c r="E22" s="10" t="s">
        <v>93</v>
      </c>
      <c r="F22" s="11" t="n">
        <v>190</v>
      </c>
      <c r="G22" s="11" t="n">
        <v>7</v>
      </c>
    </row>
    <row r="23" customFormat="false" ht="26.85" hidden="false" customHeight="false" outlineLevel="0" collapsed="false">
      <c r="A23" s="10" t="s">
        <v>84</v>
      </c>
      <c r="B23" s="10" t="s">
        <v>53</v>
      </c>
      <c r="C23" s="10" t="s">
        <v>94</v>
      </c>
      <c r="D23" s="10" t="s">
        <v>95</v>
      </c>
      <c r="E23" s="10" t="s">
        <v>96</v>
      </c>
      <c r="F23" s="11" t="n">
        <v>410</v>
      </c>
      <c r="G23" s="11" t="n">
        <v>20</v>
      </c>
    </row>
    <row r="24" customFormat="false" ht="15" hidden="false" customHeight="false" outlineLevel="0" collapsed="false">
      <c r="A24" s="9" t="s">
        <v>84</v>
      </c>
      <c r="B24" s="9" t="s">
        <v>57</v>
      </c>
      <c r="C24" s="9"/>
      <c r="D24" s="9"/>
      <c r="E24" s="9"/>
      <c r="F24" s="9" t="n">
        <f aca="false">SUM(F20:F23)</f>
        <v>1420</v>
      </c>
      <c r="G24" s="9" t="n">
        <f aca="false">SUM(G20:G23)</f>
        <v>60</v>
      </c>
    </row>
    <row r="25" customFormat="false" ht="26.85" hidden="false" customHeight="false" outlineLevel="0" collapsed="false">
      <c r="A25" s="7" t="s">
        <v>97</v>
      </c>
      <c r="B25" s="7" t="s">
        <v>41</v>
      </c>
      <c r="C25" s="7" t="s">
        <v>98</v>
      </c>
      <c r="D25" s="7" t="s">
        <v>99</v>
      </c>
      <c r="E25" s="7" t="s">
        <v>100</v>
      </c>
      <c r="F25" s="8" t="n">
        <v>360</v>
      </c>
      <c r="G25" s="8" t="n">
        <v>14</v>
      </c>
    </row>
    <row r="26" customFormat="false" ht="26.85" hidden="false" customHeight="false" outlineLevel="0" collapsed="false">
      <c r="A26" s="7" t="s">
        <v>97</v>
      </c>
      <c r="B26" s="7" t="s">
        <v>45</v>
      </c>
      <c r="C26" s="7" t="s">
        <v>101</v>
      </c>
      <c r="D26" s="7" t="s">
        <v>102</v>
      </c>
      <c r="E26" s="7" t="s">
        <v>103</v>
      </c>
      <c r="F26" s="8" t="n">
        <v>430</v>
      </c>
      <c r="G26" s="8" t="n">
        <v>17</v>
      </c>
    </row>
    <row r="27" customFormat="false" ht="26.85" hidden="false" customHeight="false" outlineLevel="0" collapsed="false">
      <c r="A27" s="7" t="s">
        <v>97</v>
      </c>
      <c r="B27" s="7" t="s">
        <v>49</v>
      </c>
      <c r="C27" s="7" t="s">
        <v>104</v>
      </c>
      <c r="D27" s="7" t="s">
        <v>105</v>
      </c>
      <c r="E27" s="7" t="s">
        <v>106</v>
      </c>
      <c r="F27" s="8" t="n">
        <v>210</v>
      </c>
      <c r="G27" s="8" t="n">
        <v>10</v>
      </c>
    </row>
    <row r="28" customFormat="false" ht="26.85" hidden="false" customHeight="false" outlineLevel="0" collapsed="false">
      <c r="A28" s="7" t="s">
        <v>97</v>
      </c>
      <c r="B28" s="7" t="s">
        <v>53</v>
      </c>
      <c r="C28" s="7" t="s">
        <v>107</v>
      </c>
      <c r="D28" s="7" t="s">
        <v>108</v>
      </c>
      <c r="E28" s="7" t="s">
        <v>109</v>
      </c>
      <c r="F28" s="8" t="n">
        <v>440</v>
      </c>
      <c r="G28" s="8" t="n">
        <v>20</v>
      </c>
    </row>
    <row r="29" customFormat="false" ht="15" hidden="false" customHeight="false" outlineLevel="0" collapsed="false">
      <c r="A29" s="9" t="s">
        <v>97</v>
      </c>
      <c r="B29" s="9" t="s">
        <v>57</v>
      </c>
      <c r="C29" s="9"/>
      <c r="D29" s="9"/>
      <c r="E29" s="9"/>
      <c r="F29" s="9" t="n">
        <f aca="false">SUM(F25:F28)</f>
        <v>1440</v>
      </c>
      <c r="G29" s="9" t="n">
        <f aca="false">SUM(G25:G28)</f>
        <v>61</v>
      </c>
    </row>
    <row r="30" customFormat="false" ht="26.85" hidden="false" customHeight="false" outlineLevel="0" collapsed="false">
      <c r="A30" s="10" t="s">
        <v>110</v>
      </c>
      <c r="B30" s="10" t="s">
        <v>41</v>
      </c>
      <c r="C30" s="10" t="s">
        <v>111</v>
      </c>
      <c r="D30" s="10" t="s">
        <v>112</v>
      </c>
      <c r="E30" s="10" t="s">
        <v>113</v>
      </c>
      <c r="F30" s="11" t="n">
        <v>330</v>
      </c>
      <c r="G30" s="11" t="n">
        <v>11</v>
      </c>
    </row>
    <row r="31" customFormat="false" ht="26.85" hidden="false" customHeight="false" outlineLevel="0" collapsed="false">
      <c r="A31" s="10" t="s">
        <v>110</v>
      </c>
      <c r="B31" s="10" t="s">
        <v>114</v>
      </c>
      <c r="C31" s="10" t="s">
        <v>115</v>
      </c>
      <c r="D31" s="10" t="s">
        <v>116</v>
      </c>
      <c r="E31" s="10" t="s">
        <v>117</v>
      </c>
      <c r="F31" s="11" t="n">
        <v>450</v>
      </c>
      <c r="G31" s="11" t="n">
        <v>17</v>
      </c>
    </row>
    <row r="32" customFormat="false" ht="15" hidden="false" customHeight="false" outlineLevel="0" collapsed="false">
      <c r="A32" s="10" t="s">
        <v>110</v>
      </c>
      <c r="B32" s="10" t="s">
        <v>49</v>
      </c>
      <c r="C32" s="10" t="s">
        <v>118</v>
      </c>
      <c r="D32" s="10" t="s">
        <v>119</v>
      </c>
      <c r="E32" s="10" t="s">
        <v>120</v>
      </c>
      <c r="F32" s="11" t="n">
        <v>180</v>
      </c>
      <c r="G32" s="11" t="n">
        <v>9</v>
      </c>
    </row>
    <row r="33" customFormat="false" ht="15" hidden="false" customHeight="false" outlineLevel="0" collapsed="false">
      <c r="A33" s="10" t="s">
        <v>110</v>
      </c>
      <c r="B33" s="10" t="s">
        <v>53</v>
      </c>
      <c r="C33" s="10" t="s">
        <v>121</v>
      </c>
      <c r="D33" s="10" t="s">
        <v>122</v>
      </c>
      <c r="E33" s="10" t="s">
        <v>123</v>
      </c>
      <c r="F33" s="11" t="n">
        <v>470</v>
      </c>
      <c r="G33" s="11" t="n">
        <v>21</v>
      </c>
    </row>
    <row r="34" customFormat="false" ht="15" hidden="false" customHeight="false" outlineLevel="0" collapsed="false">
      <c r="A34" s="9" t="s">
        <v>110</v>
      </c>
      <c r="B34" s="9" t="s">
        <v>57</v>
      </c>
      <c r="C34" s="9"/>
      <c r="D34" s="9"/>
      <c r="E34" s="9"/>
      <c r="F34" s="9" t="n">
        <f aca="false">SUM(F30:F33)</f>
        <v>1430</v>
      </c>
      <c r="G34" s="9" t="n">
        <f aca="false">SUM(G30:G33)</f>
        <v>58</v>
      </c>
    </row>
    <row r="35" customFormat="false" ht="26.85" hidden="false" customHeight="false" outlineLevel="0" collapsed="false">
      <c r="A35" s="7" t="s">
        <v>124</v>
      </c>
      <c r="B35" s="7" t="s">
        <v>41</v>
      </c>
      <c r="C35" s="7" t="s">
        <v>125</v>
      </c>
      <c r="D35" s="7" t="s">
        <v>126</v>
      </c>
      <c r="E35" s="7" t="s">
        <v>127</v>
      </c>
      <c r="F35" s="8" t="n">
        <v>520</v>
      </c>
      <c r="G35" s="8" t="n">
        <v>20</v>
      </c>
    </row>
    <row r="36" customFormat="false" ht="26.85" hidden="false" customHeight="false" outlineLevel="0" collapsed="false">
      <c r="A36" s="7" t="s">
        <v>124</v>
      </c>
      <c r="B36" s="7" t="s">
        <v>114</v>
      </c>
      <c r="C36" s="7" t="s">
        <v>128</v>
      </c>
      <c r="D36" s="7" t="s">
        <v>129</v>
      </c>
      <c r="E36" s="7" t="s">
        <v>130</v>
      </c>
      <c r="F36" s="8" t="n">
        <v>440</v>
      </c>
      <c r="G36" s="8" t="n">
        <v>16</v>
      </c>
    </row>
    <row r="37" customFormat="false" ht="15" hidden="false" customHeight="false" outlineLevel="0" collapsed="false">
      <c r="A37" s="7" t="s">
        <v>124</v>
      </c>
      <c r="B37" s="7" t="s">
        <v>49</v>
      </c>
      <c r="C37" s="7" t="s">
        <v>65</v>
      </c>
      <c r="D37" s="7" t="s">
        <v>66</v>
      </c>
      <c r="E37" s="7" t="s">
        <v>67</v>
      </c>
      <c r="F37" s="8" t="n">
        <v>190</v>
      </c>
      <c r="G37" s="8" t="n">
        <v>10</v>
      </c>
    </row>
    <row r="38" customFormat="false" ht="15" hidden="false" customHeight="false" outlineLevel="0" collapsed="false">
      <c r="A38" s="7" t="s">
        <v>124</v>
      </c>
      <c r="B38" s="7" t="s">
        <v>53</v>
      </c>
      <c r="C38" s="7" t="s">
        <v>131</v>
      </c>
      <c r="D38" s="7" t="s">
        <v>132</v>
      </c>
      <c r="E38" s="7" t="s">
        <v>133</v>
      </c>
      <c r="F38" s="8" t="n">
        <v>310</v>
      </c>
      <c r="G38" s="8" t="n">
        <v>13</v>
      </c>
    </row>
    <row r="39" customFormat="false" ht="15" hidden="false" customHeight="false" outlineLevel="0" collapsed="false">
      <c r="A39" s="9" t="s">
        <v>124</v>
      </c>
      <c r="B39" s="9" t="s">
        <v>57</v>
      </c>
      <c r="C39" s="9"/>
      <c r="D39" s="9"/>
      <c r="E39" s="9"/>
      <c r="F39" s="9" t="n">
        <f aca="false">SUM(F35:F38)</f>
        <v>1460</v>
      </c>
      <c r="G39" s="9" t="n">
        <f aca="false">SUM(G35:G38)</f>
        <v>59</v>
      </c>
    </row>
    <row r="40" customFormat="false" ht="15" hidden="false" customHeight="false" outlineLevel="0" collapsed="false">
      <c r="E40" s="12" t="s">
        <v>134</v>
      </c>
      <c r="F40" s="12" t="n">
        <f aca="false">ROUND(AVERAGE(F9,F14,F19,F24,F29,F34,F39),0)</f>
        <v>1439</v>
      </c>
      <c r="G40" s="12" t="n">
        <f aca="false">ROUND(AVERAGE(G9,G14,G19,G24,G29,G34,G39),0)</f>
        <v>60</v>
      </c>
    </row>
    <row r="41" customFormat="false" ht="15" hidden="false" customHeight="false" outlineLevel="0" collapsed="false">
      <c r="E41" s="12" t="s">
        <v>135</v>
      </c>
      <c r="F41" s="13" t="n">
        <f aca="false">'Energy Target'!B15</f>
        <v>1400</v>
      </c>
      <c r="G41" s="13" t="n">
        <f aca="false">'Energy Target'!B16</f>
        <v>64</v>
      </c>
    </row>
    <row r="43" customFormat="false" ht="15" hidden="false" customHeight="false" outlineLevel="0" collapsed="false">
      <c r="A43" s="14" t="s">
        <v>136</v>
      </c>
    </row>
  </sheetData>
  <autoFilter ref="A4:G3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2"/>
    <col collapsed="false" customWidth="true" hidden="false" outlineLevel="0" max="4" min="3" style="0" width="16"/>
    <col collapsed="false" customWidth="true" hidden="false" outlineLevel="0" max="5" min="5" style="0" width="32"/>
    <col collapsed="false" customWidth="true" hidden="false" outlineLevel="0" max="6" min="6" style="0" width="46"/>
  </cols>
  <sheetData>
    <row r="1" customFormat="false" ht="17.35" hidden="false" customHeight="false" outlineLevel="0" collapsed="false">
      <c r="A1" s="1" t="s">
        <v>137</v>
      </c>
    </row>
    <row r="2" customFormat="false" ht="15" hidden="false" customHeight="false" outlineLevel="0" collapsed="false">
      <c r="A2" s="2" t="s">
        <v>138</v>
      </c>
    </row>
    <row r="4" customFormat="false" ht="33.75" hidden="false" customHeight="true" outlineLevel="0" collapsed="false">
      <c r="A4" s="3" t="s">
        <v>33</v>
      </c>
      <c r="B4" s="3" t="s">
        <v>139</v>
      </c>
      <c r="C4" s="3" t="s">
        <v>140</v>
      </c>
      <c r="D4" s="3" t="s">
        <v>141</v>
      </c>
      <c r="E4" s="3" t="s">
        <v>142</v>
      </c>
      <c r="F4" s="3" t="s">
        <v>143</v>
      </c>
    </row>
    <row r="5" customFormat="false" ht="15" hidden="false" customHeight="false" outlineLevel="0" collapsed="false">
      <c r="A5" s="15" t="s">
        <v>40</v>
      </c>
      <c r="B5" s="16" t="n">
        <f aca="false">'Meal Plan'!F9</f>
        <v>1460</v>
      </c>
      <c r="C5" s="16" t="n">
        <f aca="false">'Meal Plan'!G9</f>
        <v>62</v>
      </c>
      <c r="D5" s="17" t="n">
        <f aca="false">B5-'Energy Target'!$B$15</f>
        <v>60</v>
      </c>
      <c r="E5" s="15" t="s">
        <v>144</v>
      </c>
      <c r="F5" s="15" t="s">
        <v>145</v>
      </c>
    </row>
    <row r="6" customFormat="false" ht="15" hidden="false" customHeight="false" outlineLevel="0" collapsed="false">
      <c r="A6" s="15" t="s">
        <v>58</v>
      </c>
      <c r="B6" s="16" t="n">
        <f aca="false">'Meal Plan'!F14</f>
        <v>1440</v>
      </c>
      <c r="C6" s="16" t="n">
        <f aca="false">'Meal Plan'!G14</f>
        <v>62</v>
      </c>
      <c r="D6" s="17" t="n">
        <f aca="false">B6-'Energy Target'!$B$15</f>
        <v>40</v>
      </c>
      <c r="E6" s="15" t="s">
        <v>146</v>
      </c>
      <c r="F6" s="15" t="s">
        <v>147</v>
      </c>
    </row>
    <row r="7" customFormat="false" ht="15" hidden="false" customHeight="false" outlineLevel="0" collapsed="false">
      <c r="A7" s="15" t="s">
        <v>71</v>
      </c>
      <c r="B7" s="16" t="n">
        <f aca="false">'Meal Plan'!F19</f>
        <v>1420</v>
      </c>
      <c r="C7" s="16" t="n">
        <f aca="false">'Meal Plan'!G19</f>
        <v>61</v>
      </c>
      <c r="D7" s="17" t="n">
        <f aca="false">B7-'Energy Target'!$B$15</f>
        <v>20</v>
      </c>
      <c r="E7" s="15" t="s">
        <v>148</v>
      </c>
      <c r="F7" s="15" t="s">
        <v>149</v>
      </c>
    </row>
    <row r="8" customFormat="false" ht="15" hidden="false" customHeight="false" outlineLevel="0" collapsed="false">
      <c r="A8" s="15" t="s">
        <v>84</v>
      </c>
      <c r="B8" s="16" t="n">
        <f aca="false">'Meal Plan'!F24</f>
        <v>1420</v>
      </c>
      <c r="C8" s="16" t="n">
        <f aca="false">'Meal Plan'!G24</f>
        <v>60</v>
      </c>
      <c r="D8" s="17" t="n">
        <f aca="false">B8-'Energy Target'!$B$15</f>
        <v>20</v>
      </c>
      <c r="E8" s="15" t="s">
        <v>150</v>
      </c>
      <c r="F8" s="15" t="s">
        <v>151</v>
      </c>
    </row>
    <row r="9" customFormat="false" ht="15" hidden="false" customHeight="false" outlineLevel="0" collapsed="false">
      <c r="A9" s="15" t="s">
        <v>97</v>
      </c>
      <c r="B9" s="16" t="n">
        <f aca="false">'Meal Plan'!F29</f>
        <v>1440</v>
      </c>
      <c r="C9" s="16" t="n">
        <f aca="false">'Meal Plan'!G29</f>
        <v>61</v>
      </c>
      <c r="D9" s="17" t="n">
        <f aca="false">B9-'Energy Target'!$B$15</f>
        <v>40</v>
      </c>
      <c r="E9" s="15" t="s">
        <v>152</v>
      </c>
      <c r="F9" s="15" t="s">
        <v>153</v>
      </c>
    </row>
    <row r="10" customFormat="false" ht="15" hidden="false" customHeight="false" outlineLevel="0" collapsed="false">
      <c r="A10" s="15" t="s">
        <v>110</v>
      </c>
      <c r="B10" s="16" t="n">
        <f aca="false">'Meal Plan'!F34</f>
        <v>1430</v>
      </c>
      <c r="C10" s="16" t="n">
        <f aca="false">'Meal Plan'!G34</f>
        <v>58</v>
      </c>
      <c r="D10" s="17" t="n">
        <f aca="false">B10-'Energy Target'!$B$15</f>
        <v>30</v>
      </c>
      <c r="E10" s="15" t="s">
        <v>154</v>
      </c>
      <c r="F10" s="15" t="s">
        <v>155</v>
      </c>
    </row>
    <row r="11" customFormat="false" ht="15" hidden="false" customHeight="false" outlineLevel="0" collapsed="false">
      <c r="A11" s="15" t="s">
        <v>124</v>
      </c>
      <c r="B11" s="16" t="n">
        <f aca="false">'Meal Plan'!F39</f>
        <v>1460</v>
      </c>
      <c r="C11" s="16" t="n">
        <f aca="false">'Meal Plan'!G39</f>
        <v>59</v>
      </c>
      <c r="D11" s="17" t="n">
        <f aca="false">B11-'Energy Target'!$B$15</f>
        <v>60</v>
      </c>
      <c r="E11" s="15" t="s">
        <v>156</v>
      </c>
      <c r="F11" s="15" t="s">
        <v>157</v>
      </c>
    </row>
    <row r="12" customFormat="false" ht="15" hidden="false" customHeight="false" outlineLevel="0" collapsed="false">
      <c r="A12" s="12" t="s">
        <v>158</v>
      </c>
      <c r="B12" s="12" t="n">
        <f aca="false">ROUND(AVERAGE(B5:B11),0)</f>
        <v>1439</v>
      </c>
      <c r="C12" s="12" t="n">
        <f aca="false">ROUND(AVERAGE(C5:C11),0)</f>
        <v>60</v>
      </c>
    </row>
    <row r="14" customFormat="false" ht="15" hidden="false" customHeight="false" outlineLevel="0" collapsed="false">
      <c r="A14" s="14" t="s">
        <v>159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46"/>
    <col collapsed="false" customWidth="true" hidden="false" outlineLevel="0" max="3" min="3" style="0" width="24"/>
    <col collapsed="false" customWidth="true" hidden="false" outlineLevel="0" max="4" min="4" style="0" width="12"/>
  </cols>
  <sheetData>
    <row r="1" customFormat="false" ht="17.35" hidden="false" customHeight="false" outlineLevel="0" collapsed="false">
      <c r="A1" s="1" t="s">
        <v>160</v>
      </c>
    </row>
    <row r="2" customFormat="false" ht="15" hidden="false" customHeight="false" outlineLevel="0" collapsed="false">
      <c r="A2" s="2" t="s">
        <v>161</v>
      </c>
    </row>
    <row r="4" customFormat="false" ht="33.75" hidden="false" customHeight="true" outlineLevel="0" collapsed="false">
      <c r="A4" s="3" t="s">
        <v>162</v>
      </c>
      <c r="B4" s="3" t="s">
        <v>2</v>
      </c>
      <c r="C4" s="3" t="s">
        <v>163</v>
      </c>
      <c r="D4" s="3" t="s">
        <v>164</v>
      </c>
    </row>
    <row r="5" customFormat="false" ht="15" hidden="false" customHeight="false" outlineLevel="0" collapsed="false">
      <c r="A5" s="6" t="s">
        <v>165</v>
      </c>
      <c r="B5" s="4" t="s">
        <v>166</v>
      </c>
      <c r="C5" s="4" t="s">
        <v>167</v>
      </c>
      <c r="D5" s="4"/>
    </row>
    <row r="6" customFormat="false" ht="15" hidden="false" customHeight="false" outlineLevel="0" collapsed="false">
      <c r="A6" s="6" t="s">
        <v>165</v>
      </c>
      <c r="B6" s="4" t="s">
        <v>168</v>
      </c>
      <c r="C6" s="4" t="s">
        <v>169</v>
      </c>
      <c r="D6" s="4"/>
    </row>
    <row r="7" customFormat="false" ht="15" hidden="false" customHeight="false" outlineLevel="0" collapsed="false">
      <c r="A7" s="6" t="s">
        <v>165</v>
      </c>
      <c r="B7" s="4" t="s">
        <v>170</v>
      </c>
      <c r="C7" s="4" t="s">
        <v>171</v>
      </c>
      <c r="D7" s="4"/>
    </row>
    <row r="8" customFormat="false" ht="15" hidden="false" customHeight="false" outlineLevel="0" collapsed="false">
      <c r="A8" s="6" t="s">
        <v>165</v>
      </c>
      <c r="B8" s="4" t="s">
        <v>172</v>
      </c>
      <c r="C8" s="4" t="s">
        <v>173</v>
      </c>
      <c r="D8" s="4"/>
    </row>
    <row r="9" customFormat="false" ht="15" hidden="false" customHeight="false" outlineLevel="0" collapsed="false">
      <c r="A9" s="6" t="s">
        <v>165</v>
      </c>
      <c r="B9" s="4" t="s">
        <v>174</v>
      </c>
      <c r="C9" s="4" t="s">
        <v>173</v>
      </c>
      <c r="D9" s="4"/>
    </row>
    <row r="10" customFormat="false" ht="15" hidden="false" customHeight="false" outlineLevel="0" collapsed="false">
      <c r="A10" s="6" t="s">
        <v>165</v>
      </c>
      <c r="B10" s="4" t="s">
        <v>156</v>
      </c>
      <c r="C10" s="4" t="s">
        <v>175</v>
      </c>
      <c r="D10" s="4"/>
    </row>
    <row r="11" customFormat="false" ht="26.85" hidden="false" customHeight="false" outlineLevel="0" collapsed="false">
      <c r="A11" s="6" t="s">
        <v>165</v>
      </c>
      <c r="B11" s="4" t="s">
        <v>176</v>
      </c>
      <c r="C11" s="4" t="s">
        <v>177</v>
      </c>
      <c r="D11" s="4"/>
    </row>
    <row r="12" customFormat="false" ht="15" hidden="false" customHeight="false" outlineLevel="0" collapsed="false">
      <c r="A12" s="6" t="s">
        <v>165</v>
      </c>
      <c r="B12" s="4" t="s">
        <v>178</v>
      </c>
      <c r="C12" s="4" t="s">
        <v>175</v>
      </c>
      <c r="D12" s="4"/>
    </row>
    <row r="13" customFormat="false" ht="15" hidden="false" customHeight="false" outlineLevel="0" collapsed="false">
      <c r="A13" s="6" t="s">
        <v>165</v>
      </c>
      <c r="B13" s="4" t="s">
        <v>179</v>
      </c>
      <c r="C13" s="4" t="s">
        <v>180</v>
      </c>
      <c r="D13" s="4"/>
    </row>
    <row r="14" customFormat="false" ht="15" hidden="false" customHeight="false" outlineLevel="0" collapsed="false">
      <c r="A14" s="6" t="s">
        <v>181</v>
      </c>
      <c r="B14" s="4" t="s">
        <v>182</v>
      </c>
      <c r="C14" s="4" t="s">
        <v>183</v>
      </c>
      <c r="D14" s="4"/>
    </row>
    <row r="15" customFormat="false" ht="15" hidden="false" customHeight="false" outlineLevel="0" collapsed="false">
      <c r="A15" s="6" t="s">
        <v>181</v>
      </c>
      <c r="B15" s="4" t="s">
        <v>184</v>
      </c>
      <c r="C15" s="4" t="s">
        <v>183</v>
      </c>
      <c r="D15" s="4"/>
    </row>
    <row r="16" customFormat="false" ht="15" hidden="false" customHeight="false" outlineLevel="0" collapsed="false">
      <c r="A16" s="6" t="s">
        <v>181</v>
      </c>
      <c r="B16" s="4" t="s">
        <v>185</v>
      </c>
      <c r="C16" s="4" t="s">
        <v>175</v>
      </c>
      <c r="D16" s="4"/>
    </row>
    <row r="17" customFormat="false" ht="15" hidden="false" customHeight="false" outlineLevel="0" collapsed="false">
      <c r="A17" s="6" t="s">
        <v>181</v>
      </c>
      <c r="B17" s="4" t="s">
        <v>186</v>
      </c>
      <c r="C17" s="4" t="s">
        <v>171</v>
      </c>
      <c r="D17" s="4"/>
    </row>
    <row r="18" customFormat="false" ht="15" hidden="false" customHeight="false" outlineLevel="0" collapsed="false">
      <c r="A18" s="6" t="s">
        <v>181</v>
      </c>
      <c r="B18" s="4" t="s">
        <v>187</v>
      </c>
      <c r="C18" s="4" t="s">
        <v>180</v>
      </c>
      <c r="D18" s="4"/>
    </row>
    <row r="19" customFormat="false" ht="15" hidden="false" customHeight="false" outlineLevel="0" collapsed="false">
      <c r="A19" s="6" t="s">
        <v>181</v>
      </c>
      <c r="B19" s="4" t="s">
        <v>188</v>
      </c>
      <c r="C19" s="4" t="s">
        <v>180</v>
      </c>
      <c r="D19" s="4"/>
    </row>
    <row r="20" customFormat="false" ht="15" hidden="false" customHeight="false" outlineLevel="0" collapsed="false">
      <c r="A20" s="6" t="s">
        <v>181</v>
      </c>
      <c r="B20" s="4" t="s">
        <v>189</v>
      </c>
      <c r="C20" s="4" t="s">
        <v>180</v>
      </c>
      <c r="D20" s="4"/>
    </row>
    <row r="21" customFormat="false" ht="15" hidden="false" customHeight="false" outlineLevel="0" collapsed="false">
      <c r="A21" s="6" t="s">
        <v>181</v>
      </c>
      <c r="B21" s="4" t="s">
        <v>190</v>
      </c>
      <c r="C21" s="4" t="s">
        <v>180</v>
      </c>
      <c r="D21" s="4"/>
    </row>
    <row r="22" customFormat="false" ht="15" hidden="false" customHeight="false" outlineLevel="0" collapsed="false">
      <c r="A22" s="6" t="s">
        <v>191</v>
      </c>
      <c r="B22" s="4" t="s">
        <v>192</v>
      </c>
      <c r="C22" s="4" t="s">
        <v>193</v>
      </c>
      <c r="D22" s="4"/>
    </row>
    <row r="23" customFormat="false" ht="15" hidden="false" customHeight="false" outlineLevel="0" collapsed="false">
      <c r="A23" s="6" t="s">
        <v>191</v>
      </c>
      <c r="B23" s="4" t="s">
        <v>194</v>
      </c>
      <c r="C23" s="4" t="s">
        <v>177</v>
      </c>
      <c r="D23" s="4"/>
    </row>
    <row r="24" customFormat="false" ht="15" hidden="false" customHeight="false" outlineLevel="0" collapsed="false">
      <c r="A24" s="6" t="s">
        <v>191</v>
      </c>
      <c r="B24" s="4" t="s">
        <v>195</v>
      </c>
      <c r="C24" s="4" t="s">
        <v>175</v>
      </c>
      <c r="D24" s="4"/>
    </row>
    <row r="25" customFormat="false" ht="15" hidden="false" customHeight="false" outlineLevel="0" collapsed="false">
      <c r="A25" s="6" t="s">
        <v>191</v>
      </c>
      <c r="B25" s="4" t="s">
        <v>196</v>
      </c>
      <c r="C25" s="4" t="s">
        <v>175</v>
      </c>
      <c r="D25" s="4"/>
    </row>
    <row r="26" customFormat="false" ht="15" hidden="false" customHeight="false" outlineLevel="0" collapsed="false">
      <c r="A26" s="6" t="s">
        <v>191</v>
      </c>
      <c r="B26" s="4" t="s">
        <v>197</v>
      </c>
      <c r="C26" s="4" t="s">
        <v>167</v>
      </c>
      <c r="D26" s="4"/>
    </row>
    <row r="27" customFormat="false" ht="15" hidden="false" customHeight="false" outlineLevel="0" collapsed="false">
      <c r="A27" s="6" t="s">
        <v>191</v>
      </c>
      <c r="B27" s="4" t="s">
        <v>198</v>
      </c>
      <c r="C27" s="4" t="s">
        <v>167</v>
      </c>
      <c r="D27" s="4"/>
    </row>
    <row r="28" customFormat="false" ht="15" hidden="false" customHeight="false" outlineLevel="0" collapsed="false">
      <c r="A28" s="6" t="s">
        <v>191</v>
      </c>
      <c r="B28" s="4" t="s">
        <v>199</v>
      </c>
      <c r="C28" s="4" t="s">
        <v>167</v>
      </c>
      <c r="D28" s="4"/>
    </row>
    <row r="29" customFormat="false" ht="15" hidden="false" customHeight="false" outlineLevel="0" collapsed="false">
      <c r="A29" s="6" t="s">
        <v>191</v>
      </c>
      <c r="B29" s="4" t="s">
        <v>200</v>
      </c>
      <c r="C29" s="4" t="s">
        <v>201</v>
      </c>
      <c r="D29" s="4"/>
    </row>
    <row r="30" customFormat="false" ht="15" hidden="false" customHeight="false" outlineLevel="0" collapsed="false">
      <c r="A30" s="6" t="s">
        <v>191</v>
      </c>
      <c r="B30" s="4" t="s">
        <v>202</v>
      </c>
      <c r="C30" s="4" t="s">
        <v>203</v>
      </c>
      <c r="D30" s="4"/>
    </row>
    <row r="31" customFormat="false" ht="15" hidden="false" customHeight="false" outlineLevel="0" collapsed="false">
      <c r="A31" s="6" t="s">
        <v>191</v>
      </c>
      <c r="B31" s="4" t="s">
        <v>204</v>
      </c>
      <c r="C31" s="4" t="s">
        <v>205</v>
      </c>
      <c r="D31" s="4"/>
    </row>
    <row r="32" customFormat="false" ht="15" hidden="false" customHeight="false" outlineLevel="0" collapsed="false">
      <c r="A32" s="6" t="s">
        <v>191</v>
      </c>
      <c r="B32" s="4" t="s">
        <v>206</v>
      </c>
      <c r="C32" s="4" t="s">
        <v>173</v>
      </c>
      <c r="D32" s="4"/>
    </row>
    <row r="33" customFormat="false" ht="15" hidden="false" customHeight="false" outlineLevel="0" collapsed="false">
      <c r="A33" s="6" t="s">
        <v>191</v>
      </c>
      <c r="B33" s="4" t="s">
        <v>207</v>
      </c>
      <c r="C33" s="4" t="s">
        <v>175</v>
      </c>
      <c r="D33" s="4"/>
    </row>
    <row r="34" customFormat="false" ht="15" hidden="false" customHeight="false" outlineLevel="0" collapsed="false">
      <c r="A34" s="6" t="s">
        <v>191</v>
      </c>
      <c r="B34" s="4" t="s">
        <v>208</v>
      </c>
      <c r="C34" s="4" t="s">
        <v>209</v>
      </c>
      <c r="D34" s="4"/>
    </row>
    <row r="35" customFormat="false" ht="15" hidden="false" customHeight="false" outlineLevel="0" collapsed="false">
      <c r="A35" s="6" t="s">
        <v>191</v>
      </c>
      <c r="B35" s="4" t="s">
        <v>210</v>
      </c>
      <c r="C35" s="4" t="s">
        <v>211</v>
      </c>
      <c r="D35" s="4"/>
    </row>
    <row r="36" customFormat="false" ht="15" hidden="false" customHeight="false" outlineLevel="0" collapsed="false">
      <c r="A36" s="6" t="s">
        <v>191</v>
      </c>
      <c r="B36" s="4" t="s">
        <v>212</v>
      </c>
      <c r="C36" s="4" t="s">
        <v>209</v>
      </c>
      <c r="D36" s="4"/>
    </row>
    <row r="37" customFormat="false" ht="15" hidden="false" customHeight="false" outlineLevel="0" collapsed="false">
      <c r="A37" s="6" t="s">
        <v>191</v>
      </c>
      <c r="B37" s="4" t="s">
        <v>213</v>
      </c>
      <c r="C37" s="4" t="s">
        <v>209</v>
      </c>
      <c r="D37" s="4"/>
    </row>
    <row r="38" customFormat="false" ht="15" hidden="false" customHeight="false" outlineLevel="0" collapsed="false">
      <c r="A38" s="6" t="s">
        <v>191</v>
      </c>
      <c r="B38" s="4" t="s">
        <v>214</v>
      </c>
      <c r="C38" s="4" t="s">
        <v>201</v>
      </c>
      <c r="D38" s="4"/>
    </row>
    <row r="39" customFormat="false" ht="26.85" hidden="false" customHeight="false" outlineLevel="0" collapsed="false">
      <c r="A39" s="6" t="s">
        <v>191</v>
      </c>
      <c r="B39" s="4" t="s">
        <v>215</v>
      </c>
      <c r="C39" s="4" t="s">
        <v>216</v>
      </c>
      <c r="D39" s="4"/>
    </row>
    <row r="40" customFormat="false" ht="15" hidden="false" customHeight="false" outlineLevel="0" collapsed="false">
      <c r="A40" s="6" t="s">
        <v>217</v>
      </c>
      <c r="B40" s="4" t="s">
        <v>218</v>
      </c>
      <c r="C40" s="4" t="s">
        <v>205</v>
      </c>
      <c r="D40" s="4"/>
    </row>
    <row r="41" customFormat="false" ht="15" hidden="false" customHeight="false" outlineLevel="0" collapsed="false">
      <c r="A41" s="6" t="s">
        <v>217</v>
      </c>
      <c r="B41" s="4" t="s">
        <v>219</v>
      </c>
      <c r="C41" s="4" t="s">
        <v>220</v>
      </c>
      <c r="D41" s="4"/>
    </row>
    <row r="42" customFormat="false" ht="15" hidden="false" customHeight="false" outlineLevel="0" collapsed="false">
      <c r="A42" s="6" t="s">
        <v>217</v>
      </c>
      <c r="B42" s="4" t="s">
        <v>221</v>
      </c>
      <c r="C42" s="4" t="s">
        <v>222</v>
      </c>
      <c r="D42" s="4"/>
    </row>
    <row r="43" customFormat="false" ht="15" hidden="false" customHeight="false" outlineLevel="0" collapsed="false">
      <c r="A43" s="6" t="s">
        <v>217</v>
      </c>
      <c r="B43" s="4" t="s">
        <v>223</v>
      </c>
      <c r="C43" s="4" t="s">
        <v>205</v>
      </c>
      <c r="D43" s="4"/>
    </row>
    <row r="44" customFormat="false" ht="15" hidden="false" customHeight="false" outlineLevel="0" collapsed="false">
      <c r="A44" s="6" t="s">
        <v>224</v>
      </c>
      <c r="B44" s="4" t="s">
        <v>225</v>
      </c>
      <c r="C44" s="4" t="s">
        <v>226</v>
      </c>
      <c r="D44" s="4"/>
    </row>
    <row r="45" customFormat="false" ht="15" hidden="false" customHeight="false" outlineLevel="0" collapsed="false">
      <c r="A45" s="6" t="s">
        <v>224</v>
      </c>
      <c r="B45" s="4" t="s">
        <v>227</v>
      </c>
      <c r="C45" s="4" t="s">
        <v>228</v>
      </c>
      <c r="D45" s="4"/>
    </row>
    <row r="46" customFormat="false" ht="15" hidden="false" customHeight="false" outlineLevel="0" collapsed="false">
      <c r="A46" s="6" t="s">
        <v>224</v>
      </c>
      <c r="B46" s="4" t="s">
        <v>229</v>
      </c>
      <c r="C46" s="4" t="s">
        <v>183</v>
      </c>
      <c r="D46" s="4"/>
    </row>
    <row r="47" customFormat="false" ht="15" hidden="false" customHeight="false" outlineLevel="0" collapsed="false">
      <c r="A47" s="6" t="s">
        <v>224</v>
      </c>
      <c r="B47" s="4" t="s">
        <v>230</v>
      </c>
      <c r="C47" s="4" t="s">
        <v>231</v>
      </c>
      <c r="D47" s="4"/>
    </row>
    <row r="48" customFormat="false" ht="15" hidden="false" customHeight="false" outlineLevel="0" collapsed="false">
      <c r="A48" s="6" t="s">
        <v>232</v>
      </c>
      <c r="B48" s="4" t="s">
        <v>233</v>
      </c>
      <c r="C48" s="4" t="s">
        <v>171</v>
      </c>
      <c r="D48" s="4"/>
    </row>
    <row r="49" customFormat="false" ht="15" hidden="false" customHeight="false" outlineLevel="0" collapsed="false">
      <c r="A49" s="6" t="s">
        <v>232</v>
      </c>
      <c r="B49" s="4" t="s">
        <v>234</v>
      </c>
      <c r="C49" s="4" t="s">
        <v>235</v>
      </c>
      <c r="D49" s="4"/>
    </row>
    <row r="50" customFormat="false" ht="15" hidden="false" customHeight="false" outlineLevel="0" collapsed="false">
      <c r="A50" s="6" t="s">
        <v>232</v>
      </c>
      <c r="B50" s="4" t="s">
        <v>236</v>
      </c>
      <c r="C50" s="4" t="s">
        <v>231</v>
      </c>
      <c r="D50" s="4"/>
    </row>
    <row r="51" customFormat="false" ht="26.85" hidden="false" customHeight="false" outlineLevel="0" collapsed="false">
      <c r="A51" s="6" t="s">
        <v>237</v>
      </c>
      <c r="B51" s="4" t="s">
        <v>238</v>
      </c>
      <c r="C51" s="4" t="s">
        <v>239</v>
      </c>
      <c r="D51" s="4"/>
    </row>
    <row r="52" customFormat="false" ht="15" hidden="false" customHeight="false" outlineLevel="0" collapsed="false">
      <c r="A52" s="6" t="s">
        <v>237</v>
      </c>
      <c r="B52" s="4" t="s">
        <v>240</v>
      </c>
      <c r="C52" s="4" t="s">
        <v>216</v>
      </c>
      <c r="D52" s="4"/>
    </row>
    <row r="53" customFormat="false" ht="15" hidden="false" customHeight="false" outlineLevel="0" collapsed="false">
      <c r="A53" s="6" t="s">
        <v>237</v>
      </c>
      <c r="B53" s="4" t="s">
        <v>241</v>
      </c>
      <c r="C53" s="4" t="s">
        <v>180</v>
      </c>
      <c r="D53" s="4"/>
    </row>
    <row r="54" customFormat="false" ht="15" hidden="false" customHeight="false" outlineLevel="0" collapsed="false">
      <c r="A54" s="6" t="s">
        <v>237</v>
      </c>
      <c r="B54" s="4" t="s">
        <v>242</v>
      </c>
      <c r="C54" s="4" t="s">
        <v>243</v>
      </c>
      <c r="D54" s="4"/>
    </row>
    <row r="55" customFormat="false" ht="15" hidden="false" customHeight="false" outlineLevel="0" collapsed="false">
      <c r="A55" s="6" t="s">
        <v>237</v>
      </c>
      <c r="B55" s="4" t="s">
        <v>244</v>
      </c>
      <c r="C55" s="4" t="s">
        <v>216</v>
      </c>
      <c r="D55" s="4"/>
    </row>
    <row r="56" customFormat="false" ht="15" hidden="false" customHeight="false" outlineLevel="0" collapsed="false">
      <c r="A56" s="6" t="s">
        <v>237</v>
      </c>
      <c r="B56" s="4" t="s">
        <v>245</v>
      </c>
      <c r="C56" s="4" t="s">
        <v>216</v>
      </c>
      <c r="D56" s="4"/>
    </row>
  </sheetData>
  <autoFilter ref="A4:D5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246</v>
      </c>
    </row>
    <row r="3" customFormat="false" ht="15" hidden="false" customHeight="false" outlineLevel="0" collapsed="false">
      <c r="A3" s="18" t="s">
        <v>247</v>
      </c>
      <c r="B3" s="19"/>
    </row>
    <row r="4" customFormat="false" ht="15" hidden="false" customHeight="false" outlineLevel="0" collapsed="false">
      <c r="A4" s="20" t="n">
        <v>1</v>
      </c>
      <c r="B4" s="21" t="s">
        <v>248</v>
      </c>
    </row>
    <row r="5" customFormat="false" ht="15" hidden="false" customHeight="false" outlineLevel="0" collapsed="false">
      <c r="A5" s="20" t="n">
        <v>2</v>
      </c>
      <c r="B5" s="21" t="s">
        <v>249</v>
      </c>
    </row>
    <row r="6" customFormat="false" ht="15" hidden="false" customHeight="false" outlineLevel="0" collapsed="false">
      <c r="A6" s="20" t="n">
        <v>3</v>
      </c>
      <c r="B6" s="21" t="s">
        <v>250</v>
      </c>
    </row>
    <row r="7" customFormat="false" ht="15" hidden="false" customHeight="false" outlineLevel="0" collapsed="false">
      <c r="A7" s="20" t="n">
        <v>4</v>
      </c>
      <c r="B7" s="21" t="s">
        <v>251</v>
      </c>
    </row>
    <row r="8" customFormat="false" ht="15" hidden="false" customHeight="false" outlineLevel="0" collapsed="false">
      <c r="A8" s="20" t="n">
        <v>5</v>
      </c>
      <c r="B8" s="21" t="s">
        <v>252</v>
      </c>
    </row>
    <row r="9" customFormat="false" ht="15" hidden="false" customHeight="false" outlineLevel="0" collapsed="false">
      <c r="A9" s="20" t="n">
        <v>6</v>
      </c>
      <c r="B9" s="21" t="s">
        <v>253</v>
      </c>
    </row>
    <row r="11" customFormat="false" ht="15" hidden="false" customHeight="false" outlineLevel="0" collapsed="false">
      <c r="A11" s="18" t="s">
        <v>254</v>
      </c>
      <c r="B11" s="19"/>
    </row>
    <row r="12" customFormat="false" ht="15" hidden="false" customHeight="false" outlineLevel="0" collapsed="false">
      <c r="A12" s="20" t="n">
        <v>1</v>
      </c>
      <c r="B12" s="21" t="s">
        <v>255</v>
      </c>
    </row>
    <row r="13" customFormat="false" ht="26.85" hidden="false" customHeight="false" outlineLevel="0" collapsed="false">
      <c r="A13" s="20" t="n">
        <v>2</v>
      </c>
      <c r="B13" s="21" t="s">
        <v>256</v>
      </c>
    </row>
    <row r="14" customFormat="false" ht="26.85" hidden="false" customHeight="false" outlineLevel="0" collapsed="false">
      <c r="A14" s="20" t="n">
        <v>3</v>
      </c>
      <c r="B14" s="21" t="s">
        <v>257</v>
      </c>
    </row>
    <row r="15" customFormat="false" ht="26.85" hidden="false" customHeight="false" outlineLevel="0" collapsed="false">
      <c r="A15" s="20" t="n">
        <v>4</v>
      </c>
      <c r="B15" s="21" t="s">
        <v>258</v>
      </c>
    </row>
    <row r="16" customFormat="false" ht="26.85" hidden="false" customHeight="false" outlineLevel="0" collapsed="false">
      <c r="A16" s="20" t="n">
        <v>5</v>
      </c>
      <c r="B16" s="21" t="s">
        <v>259</v>
      </c>
    </row>
    <row r="18" customFormat="false" ht="15" hidden="false" customHeight="false" outlineLevel="0" collapsed="false">
      <c r="A18" s="18" t="s">
        <v>260</v>
      </c>
      <c r="B18" s="19"/>
    </row>
    <row r="19" customFormat="false" ht="15" hidden="false" customHeight="false" outlineLevel="0" collapsed="false">
      <c r="A19" s="20" t="n">
        <v>1</v>
      </c>
      <c r="B19" s="21" t="s">
        <v>261</v>
      </c>
    </row>
    <row r="20" customFormat="false" ht="15" hidden="false" customHeight="false" outlineLevel="0" collapsed="false">
      <c r="A20" s="20" t="n">
        <v>2</v>
      </c>
      <c r="B20" s="21" t="s">
        <v>262</v>
      </c>
    </row>
    <row r="21" customFormat="false" ht="15" hidden="false" customHeight="false" outlineLevel="0" collapsed="false">
      <c r="A21" s="20" t="n">
        <v>3</v>
      </c>
      <c r="B21" s="21" t="s">
        <v>263</v>
      </c>
    </row>
    <row r="22" customFormat="false" ht="15" hidden="false" customHeight="false" outlineLevel="0" collapsed="false">
      <c r="A22" s="20" t="n">
        <v>4</v>
      </c>
      <c r="B22" s="21" t="s">
        <v>264</v>
      </c>
    </row>
    <row r="23" customFormat="false" ht="15" hidden="false" customHeight="false" outlineLevel="0" collapsed="false">
      <c r="A23" s="20" t="n">
        <v>5</v>
      </c>
      <c r="B23" s="21" t="s">
        <v>265</v>
      </c>
    </row>
    <row r="24" customFormat="false" ht="15" hidden="false" customHeight="false" outlineLevel="0" collapsed="false">
      <c r="A24" s="20" t="n">
        <v>6</v>
      </c>
      <c r="B24" s="21" t="s">
        <v>266</v>
      </c>
    </row>
    <row r="26" customFormat="false" ht="15" hidden="false" customHeight="false" outlineLevel="0" collapsed="false">
      <c r="A26" s="18" t="s">
        <v>267</v>
      </c>
      <c r="B26" s="19"/>
    </row>
    <row r="27" customFormat="false" ht="39.55" hidden="false" customHeight="false" outlineLevel="0" collapsed="false">
      <c r="A27" s="20" t="n">
        <v>1</v>
      </c>
      <c r="B27" s="21" t="s">
        <v>268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2026-10-07T02:36:48Z</dcterms:created>
  <dc:creator>openpyxl</dc:creator>
  <dc:description/>
  <dc:language>en-US</dc:language>
  <cp:lastModifiedBy/>
  <dcterms:modified xsi:type="dcterms:W3CDTF">2026-10-07T02:36:48Z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